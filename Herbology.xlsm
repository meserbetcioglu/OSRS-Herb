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ehmet\Python\OSRS\Herb\"/>
    </mc:Choice>
  </mc:AlternateContent>
  <xr:revisionPtr revIDLastSave="0" documentId="13_ncr:1_{03CA2E6F-069B-4166-A3DE-4E90C684355C}" xr6:coauthVersionLast="47" xr6:coauthVersionMax="47" xr10:uidLastSave="{00000000-0000-0000-0000-000000000000}"/>
  <bookViews>
    <workbookView xWindow="-80" yWindow="-80" windowWidth="38560" windowHeight="21040" xr2:uid="{00000000-000D-0000-FFFF-FFFF00000000}"/>
  </bookViews>
  <sheets>
    <sheet name="Recipes" sheetId="1" r:id="rId1"/>
    <sheet name="Prices" sheetId="2" r:id="rId2"/>
    <sheet name="Config" sheetId="3" r:id="rId3"/>
  </sheets>
  <definedNames>
    <definedName name="_xlnm._FilterDatabase" localSheetId="1" hidden="1">Prices!$A$1:$D$4523</definedName>
    <definedName name="_xlnm._FilterDatabase" localSheetId="0" hidden="1">Recipes!$A$1:$AE$76</definedName>
  </definedNames>
  <calcPr calcId="181029"/>
</workbook>
</file>

<file path=xl/calcChain.xml><?xml version="1.0" encoding="utf-8"?>
<calcChain xmlns="http://schemas.openxmlformats.org/spreadsheetml/2006/main">
  <c r="J6" i="1" l="1"/>
  <c r="K6" i="1"/>
  <c r="N6" i="1" s="1"/>
  <c r="L6" i="1"/>
  <c r="M6" i="1"/>
  <c r="J4" i="1"/>
  <c r="K4" i="1"/>
  <c r="N4" i="1" s="1"/>
  <c r="L4" i="1"/>
  <c r="M4" i="1"/>
  <c r="J3" i="1"/>
  <c r="K3" i="1"/>
  <c r="N3" i="1" s="1"/>
  <c r="L3" i="1"/>
  <c r="O3" i="1" s="1"/>
  <c r="M3" i="1"/>
  <c r="P3" i="1" s="1"/>
  <c r="J10" i="1"/>
  <c r="K10" i="1"/>
  <c r="N10" i="1" s="1"/>
  <c r="L10" i="1"/>
  <c r="O10" i="1" s="1"/>
  <c r="M10" i="1"/>
  <c r="J7" i="1"/>
  <c r="K7" i="1"/>
  <c r="N7" i="1" s="1"/>
  <c r="L7" i="1"/>
  <c r="O7" i="1" s="1"/>
  <c r="M7" i="1"/>
  <c r="P7" i="1" s="1"/>
  <c r="J9" i="1"/>
  <c r="K9" i="1"/>
  <c r="N9" i="1" s="1"/>
  <c r="L9" i="1"/>
  <c r="O9" i="1" s="1"/>
  <c r="M9" i="1"/>
  <c r="P9" i="1" s="1"/>
  <c r="J52" i="1"/>
  <c r="K52" i="1"/>
  <c r="N52" i="1" s="1"/>
  <c r="L52" i="1"/>
  <c r="O52" i="1" s="1"/>
  <c r="M52" i="1"/>
  <c r="P52" i="1" s="1"/>
  <c r="J19" i="1"/>
  <c r="K19" i="1"/>
  <c r="N19" i="1" s="1"/>
  <c r="L19" i="1"/>
  <c r="O19" i="1" s="1"/>
  <c r="M19" i="1"/>
  <c r="P19" i="1" s="1"/>
  <c r="J26" i="1"/>
  <c r="K26" i="1"/>
  <c r="L26" i="1"/>
  <c r="O26" i="1" s="1"/>
  <c r="M26" i="1"/>
  <c r="P26" i="1" s="1"/>
  <c r="J5" i="1"/>
  <c r="K5" i="1"/>
  <c r="N5" i="1" s="1"/>
  <c r="L5" i="1"/>
  <c r="O5" i="1" s="1"/>
  <c r="M5" i="1"/>
  <c r="P5" i="1" s="1"/>
  <c r="J61" i="1"/>
  <c r="K61" i="1"/>
  <c r="N61" i="1" s="1"/>
  <c r="L61" i="1"/>
  <c r="M61" i="1"/>
  <c r="J13" i="1"/>
  <c r="K13" i="1"/>
  <c r="N13" i="1" s="1"/>
  <c r="L13" i="1"/>
  <c r="O13" i="1" s="1"/>
  <c r="M13" i="1"/>
  <c r="P13" i="1" s="1"/>
  <c r="J14" i="1"/>
  <c r="K14" i="1"/>
  <c r="N14" i="1" s="1"/>
  <c r="L14" i="1"/>
  <c r="O14" i="1" s="1"/>
  <c r="M14" i="1"/>
  <c r="P14" i="1" s="1"/>
  <c r="J32" i="1"/>
  <c r="K32" i="1"/>
  <c r="N32" i="1" s="1"/>
  <c r="L32" i="1"/>
  <c r="O32" i="1" s="1"/>
  <c r="M32" i="1"/>
  <c r="P32" i="1" s="1"/>
  <c r="J11" i="1"/>
  <c r="K11" i="1"/>
  <c r="N11" i="1" s="1"/>
  <c r="L11" i="1"/>
  <c r="O11" i="1" s="1"/>
  <c r="M11" i="1"/>
  <c r="P11" i="1" s="1"/>
  <c r="J51" i="1"/>
  <c r="K51" i="1"/>
  <c r="N51" i="1" s="1"/>
  <c r="L51" i="1"/>
  <c r="O51" i="1" s="1"/>
  <c r="M51" i="1"/>
  <c r="J45" i="1"/>
  <c r="K45" i="1"/>
  <c r="N45" i="1" s="1"/>
  <c r="L45" i="1"/>
  <c r="O45" i="1" s="1"/>
  <c r="M45" i="1"/>
  <c r="P45" i="1" s="1"/>
  <c r="J20" i="1"/>
  <c r="K20" i="1"/>
  <c r="N20" i="1" s="1"/>
  <c r="L20" i="1"/>
  <c r="O20" i="1" s="1"/>
  <c r="M20" i="1"/>
  <c r="P20" i="1" s="1"/>
  <c r="J16" i="1"/>
  <c r="K16" i="1"/>
  <c r="N16" i="1" s="1"/>
  <c r="L16" i="1"/>
  <c r="M16" i="1"/>
  <c r="J15" i="1"/>
  <c r="K15" i="1"/>
  <c r="N15" i="1" s="1"/>
  <c r="L15" i="1"/>
  <c r="O15" i="1" s="1"/>
  <c r="M15" i="1"/>
  <c r="J27" i="1"/>
  <c r="K27" i="1"/>
  <c r="N27" i="1" s="1"/>
  <c r="L27" i="1"/>
  <c r="O27" i="1" s="1"/>
  <c r="M27" i="1"/>
  <c r="P27" i="1" s="1"/>
  <c r="J33" i="1"/>
  <c r="K33" i="1"/>
  <c r="N33" i="1" s="1"/>
  <c r="L33" i="1"/>
  <c r="O33" i="1" s="1"/>
  <c r="M33" i="1"/>
  <c r="P33" i="1" s="1"/>
  <c r="J18" i="1"/>
  <c r="K18" i="1"/>
  <c r="N18" i="1" s="1"/>
  <c r="L18" i="1"/>
  <c r="M18" i="1"/>
  <c r="P18" i="1" s="1"/>
  <c r="J34" i="1"/>
  <c r="K34" i="1"/>
  <c r="N34" i="1" s="1"/>
  <c r="L34" i="1"/>
  <c r="O34" i="1" s="1"/>
  <c r="M34" i="1"/>
  <c r="P34" i="1" s="1"/>
  <c r="J22" i="1"/>
  <c r="K22" i="1"/>
  <c r="N22" i="1" s="1"/>
  <c r="L22" i="1"/>
  <c r="O22" i="1" s="1"/>
  <c r="M22" i="1"/>
  <c r="P22" i="1" s="1"/>
  <c r="J17" i="1"/>
  <c r="K17" i="1"/>
  <c r="N17" i="1" s="1"/>
  <c r="L17" i="1"/>
  <c r="O17" i="1" s="1"/>
  <c r="M17" i="1"/>
  <c r="P17" i="1" s="1"/>
  <c r="J21" i="1"/>
  <c r="K21" i="1"/>
  <c r="N21" i="1" s="1"/>
  <c r="L21" i="1"/>
  <c r="O21" i="1" s="1"/>
  <c r="M21" i="1"/>
  <c r="P21" i="1" s="1"/>
  <c r="J24" i="1"/>
  <c r="K24" i="1"/>
  <c r="N24" i="1" s="1"/>
  <c r="L24" i="1"/>
  <c r="O24" i="1" s="1"/>
  <c r="M24" i="1"/>
  <c r="P24" i="1" s="1"/>
  <c r="J25" i="1"/>
  <c r="K25" i="1"/>
  <c r="N25" i="1" s="1"/>
  <c r="L25" i="1"/>
  <c r="O25" i="1" s="1"/>
  <c r="M25" i="1"/>
  <c r="P25" i="1" s="1"/>
  <c r="J28" i="1"/>
  <c r="K28" i="1"/>
  <c r="N28" i="1" s="1"/>
  <c r="L28" i="1"/>
  <c r="O28" i="1" s="1"/>
  <c r="M28" i="1"/>
  <c r="P28" i="1" s="1"/>
  <c r="J23" i="1"/>
  <c r="K23" i="1"/>
  <c r="N23" i="1" s="1"/>
  <c r="L23" i="1"/>
  <c r="O23" i="1" s="1"/>
  <c r="M23" i="1"/>
  <c r="P23" i="1" s="1"/>
  <c r="J30" i="1"/>
  <c r="K30" i="1"/>
  <c r="N30" i="1" s="1"/>
  <c r="L30" i="1"/>
  <c r="O30" i="1" s="1"/>
  <c r="M30" i="1"/>
  <c r="J8" i="1"/>
  <c r="K8" i="1"/>
  <c r="N8" i="1" s="1"/>
  <c r="L8" i="1"/>
  <c r="O8" i="1" s="1"/>
  <c r="M8" i="1"/>
  <c r="P8" i="1" s="1"/>
  <c r="J35" i="1"/>
  <c r="K35" i="1"/>
  <c r="N35" i="1" s="1"/>
  <c r="L35" i="1"/>
  <c r="O35" i="1" s="1"/>
  <c r="M35" i="1"/>
  <c r="P35" i="1" s="1"/>
  <c r="J31" i="1"/>
  <c r="K31" i="1"/>
  <c r="N31" i="1" s="1"/>
  <c r="L31" i="1"/>
  <c r="O31" i="1" s="1"/>
  <c r="M31" i="1"/>
  <c r="P31" i="1" s="1"/>
  <c r="J29" i="1"/>
  <c r="K29" i="1"/>
  <c r="N29" i="1" s="1"/>
  <c r="L29" i="1"/>
  <c r="O29" i="1" s="1"/>
  <c r="M29" i="1"/>
  <c r="P29" i="1" s="1"/>
  <c r="J48" i="1"/>
  <c r="K48" i="1"/>
  <c r="N48" i="1" s="1"/>
  <c r="L48" i="1"/>
  <c r="O48" i="1" s="1"/>
  <c r="M48" i="1"/>
  <c r="P48" i="1" s="1"/>
  <c r="J55" i="1"/>
  <c r="K55" i="1"/>
  <c r="N55" i="1" s="1"/>
  <c r="L55" i="1"/>
  <c r="O55" i="1" s="1"/>
  <c r="M55" i="1"/>
  <c r="P55" i="1" s="1"/>
  <c r="J39" i="1"/>
  <c r="K39" i="1"/>
  <c r="N39" i="1" s="1"/>
  <c r="L39" i="1"/>
  <c r="O39" i="1" s="1"/>
  <c r="M39" i="1"/>
  <c r="P39" i="1" s="1"/>
  <c r="J38" i="1"/>
  <c r="K38" i="1"/>
  <c r="N38" i="1" s="1"/>
  <c r="L38" i="1"/>
  <c r="O38" i="1" s="1"/>
  <c r="M38" i="1"/>
  <c r="J37" i="1"/>
  <c r="K37" i="1"/>
  <c r="N37" i="1" s="1"/>
  <c r="L37" i="1"/>
  <c r="O37" i="1" s="1"/>
  <c r="M37" i="1"/>
  <c r="J36" i="1"/>
  <c r="K36" i="1"/>
  <c r="N36" i="1" s="1"/>
  <c r="L36" i="1"/>
  <c r="O36" i="1" s="1"/>
  <c r="M36" i="1"/>
  <c r="P36" i="1" s="1"/>
  <c r="J40" i="1"/>
  <c r="K40" i="1"/>
  <c r="N40" i="1" s="1"/>
  <c r="L40" i="1"/>
  <c r="O40" i="1" s="1"/>
  <c r="M40" i="1"/>
  <c r="P40" i="1" s="1"/>
  <c r="J41" i="1"/>
  <c r="K41" i="1"/>
  <c r="N41" i="1" s="1"/>
  <c r="L41" i="1"/>
  <c r="M41" i="1"/>
  <c r="P41" i="1" s="1"/>
  <c r="J59" i="1"/>
  <c r="K59" i="1"/>
  <c r="N59" i="1" s="1"/>
  <c r="L59" i="1"/>
  <c r="O59" i="1" s="1"/>
  <c r="M59" i="1"/>
  <c r="P59" i="1" s="1"/>
  <c r="J43" i="1"/>
  <c r="K43" i="1"/>
  <c r="N43" i="1" s="1"/>
  <c r="L43" i="1"/>
  <c r="O43" i="1" s="1"/>
  <c r="M43" i="1"/>
  <c r="P43" i="1" s="1"/>
  <c r="J12" i="1"/>
  <c r="K12" i="1"/>
  <c r="N12" i="1" s="1"/>
  <c r="L12" i="1"/>
  <c r="O12" i="1" s="1"/>
  <c r="M12" i="1"/>
  <c r="J42" i="1"/>
  <c r="K42" i="1"/>
  <c r="N42" i="1" s="1"/>
  <c r="L42" i="1"/>
  <c r="O42" i="1" s="1"/>
  <c r="M42" i="1"/>
  <c r="P42" i="1" s="1"/>
  <c r="J53" i="1"/>
  <c r="K53" i="1"/>
  <c r="N53" i="1" s="1"/>
  <c r="L53" i="1"/>
  <c r="O53" i="1" s="1"/>
  <c r="M53" i="1"/>
  <c r="P53" i="1" s="1"/>
  <c r="J44" i="1"/>
  <c r="K44" i="1"/>
  <c r="N44" i="1" s="1"/>
  <c r="L44" i="1"/>
  <c r="O44" i="1" s="1"/>
  <c r="M44" i="1"/>
  <c r="J50" i="1"/>
  <c r="K50" i="1"/>
  <c r="N50" i="1" s="1"/>
  <c r="L50" i="1"/>
  <c r="O50" i="1" s="1"/>
  <c r="M50" i="1"/>
  <c r="P50" i="1" s="1"/>
  <c r="J49" i="1"/>
  <c r="K49" i="1"/>
  <c r="N49" i="1" s="1"/>
  <c r="L49" i="1"/>
  <c r="O49" i="1" s="1"/>
  <c r="M49" i="1"/>
  <c r="P49" i="1" s="1"/>
  <c r="J46" i="1"/>
  <c r="K46" i="1"/>
  <c r="N46" i="1" s="1"/>
  <c r="L46" i="1"/>
  <c r="O46" i="1" s="1"/>
  <c r="M46" i="1"/>
  <c r="P46" i="1" s="1"/>
  <c r="J56" i="1"/>
  <c r="K56" i="1"/>
  <c r="N56" i="1" s="1"/>
  <c r="L56" i="1"/>
  <c r="O56" i="1" s="1"/>
  <c r="M56" i="1"/>
  <c r="P56" i="1" s="1"/>
  <c r="J54" i="1"/>
  <c r="K54" i="1"/>
  <c r="N54" i="1" s="1"/>
  <c r="L54" i="1"/>
  <c r="O54" i="1" s="1"/>
  <c r="M54" i="1"/>
  <c r="P54" i="1" s="1"/>
  <c r="J47" i="1"/>
  <c r="K47" i="1"/>
  <c r="N47" i="1" s="1"/>
  <c r="L47" i="1"/>
  <c r="O47" i="1" s="1"/>
  <c r="M47" i="1"/>
  <c r="P47" i="1" s="1"/>
  <c r="J57" i="1"/>
  <c r="K57" i="1"/>
  <c r="N57" i="1" s="1"/>
  <c r="L57" i="1"/>
  <c r="O57" i="1" s="1"/>
  <c r="M57" i="1"/>
  <c r="P57" i="1" s="1"/>
  <c r="J58" i="1"/>
  <c r="K58" i="1"/>
  <c r="N58" i="1" s="1"/>
  <c r="L58" i="1"/>
  <c r="O58" i="1" s="1"/>
  <c r="M58" i="1"/>
  <c r="P58" i="1" s="1"/>
  <c r="J60" i="1"/>
  <c r="K60" i="1"/>
  <c r="N60" i="1" s="1"/>
  <c r="L60" i="1"/>
  <c r="O60" i="1" s="1"/>
  <c r="M60" i="1"/>
  <c r="P60" i="1" s="1"/>
  <c r="J73" i="1"/>
  <c r="K73" i="1"/>
  <c r="N73" i="1" s="1"/>
  <c r="L73" i="1"/>
  <c r="O73" i="1" s="1"/>
  <c r="M73" i="1"/>
  <c r="P73" i="1" s="1"/>
  <c r="J2" i="1"/>
  <c r="K2" i="1"/>
  <c r="N2" i="1" s="1"/>
  <c r="L2" i="1"/>
  <c r="O2" i="1" s="1"/>
  <c r="M2" i="1"/>
  <c r="P2" i="1" s="1"/>
  <c r="J64" i="1"/>
  <c r="K64" i="1"/>
  <c r="N64" i="1" s="1"/>
  <c r="L64" i="1"/>
  <c r="O64" i="1" s="1"/>
  <c r="M64" i="1"/>
  <c r="P64" i="1" s="1"/>
  <c r="J65" i="1"/>
  <c r="K65" i="1"/>
  <c r="N65" i="1" s="1"/>
  <c r="L65" i="1"/>
  <c r="O65" i="1" s="1"/>
  <c r="M65" i="1"/>
  <c r="P65" i="1" s="1"/>
  <c r="J69" i="1"/>
  <c r="K69" i="1"/>
  <c r="N69" i="1" s="1"/>
  <c r="L69" i="1"/>
  <c r="O69" i="1" s="1"/>
  <c r="M69" i="1"/>
  <c r="P69" i="1" s="1"/>
  <c r="J75" i="1"/>
  <c r="K75" i="1"/>
  <c r="N75" i="1" s="1"/>
  <c r="L75" i="1"/>
  <c r="O75" i="1" s="1"/>
  <c r="M75" i="1"/>
  <c r="J67" i="1"/>
  <c r="K67" i="1"/>
  <c r="N67" i="1" s="1"/>
  <c r="L67" i="1"/>
  <c r="O67" i="1" s="1"/>
  <c r="M67" i="1"/>
  <c r="P67" i="1" s="1"/>
  <c r="J72" i="1"/>
  <c r="K72" i="1"/>
  <c r="N72" i="1" s="1"/>
  <c r="L72" i="1"/>
  <c r="O72" i="1" s="1"/>
  <c r="M72" i="1"/>
  <c r="P72" i="1" s="1"/>
  <c r="J63" i="1"/>
  <c r="K63" i="1"/>
  <c r="N63" i="1" s="1"/>
  <c r="L63" i="1"/>
  <c r="O63" i="1" s="1"/>
  <c r="M63" i="1"/>
  <c r="J71" i="1"/>
  <c r="K71" i="1"/>
  <c r="N71" i="1" s="1"/>
  <c r="L71" i="1"/>
  <c r="O71" i="1" s="1"/>
  <c r="M71" i="1"/>
  <c r="P71" i="1" s="1"/>
  <c r="J76" i="1"/>
  <c r="K76" i="1"/>
  <c r="N76" i="1" s="1"/>
  <c r="L76" i="1"/>
  <c r="O76" i="1" s="1"/>
  <c r="M76" i="1"/>
  <c r="J66" i="1"/>
  <c r="K66" i="1"/>
  <c r="N66" i="1" s="1"/>
  <c r="L66" i="1"/>
  <c r="O66" i="1" s="1"/>
  <c r="M66" i="1"/>
  <c r="P66" i="1" s="1"/>
  <c r="J74" i="1"/>
  <c r="K74" i="1"/>
  <c r="N74" i="1" s="1"/>
  <c r="L74" i="1"/>
  <c r="O74" i="1" s="1"/>
  <c r="M74" i="1"/>
  <c r="P74" i="1" s="1"/>
  <c r="J68" i="1"/>
  <c r="K68" i="1"/>
  <c r="N68" i="1" s="1"/>
  <c r="L68" i="1"/>
  <c r="O68" i="1" s="1"/>
  <c r="M68" i="1"/>
  <c r="P68" i="1" s="1"/>
  <c r="J70" i="1"/>
  <c r="K70" i="1"/>
  <c r="N70" i="1" s="1"/>
  <c r="L70" i="1"/>
  <c r="O70" i="1" s="1"/>
  <c r="M70" i="1"/>
  <c r="P70" i="1" s="1"/>
  <c r="U6" i="1"/>
  <c r="W6" i="1"/>
  <c r="V6" i="1" s="1"/>
  <c r="X6" i="1" s="1"/>
  <c r="U4" i="1"/>
  <c r="W4" i="1"/>
  <c r="V4" i="1" s="1"/>
  <c r="X4" i="1" s="1"/>
  <c r="U3" i="1"/>
  <c r="W3" i="1"/>
  <c r="V3" i="1" s="1"/>
  <c r="X3" i="1" s="1"/>
  <c r="U10" i="1"/>
  <c r="W10" i="1"/>
  <c r="V10" i="1" s="1"/>
  <c r="X10" i="1" s="1"/>
  <c r="U7" i="1"/>
  <c r="W7" i="1"/>
  <c r="V7" i="1" s="1"/>
  <c r="X7" i="1" s="1"/>
  <c r="U9" i="1"/>
  <c r="W9" i="1"/>
  <c r="V9" i="1" s="1"/>
  <c r="X9" i="1" s="1"/>
  <c r="U52" i="1"/>
  <c r="W52" i="1"/>
  <c r="V52" i="1" s="1"/>
  <c r="X52" i="1" s="1"/>
  <c r="U19" i="1"/>
  <c r="W19" i="1"/>
  <c r="V19" i="1" s="1"/>
  <c r="X19" i="1" s="1"/>
  <c r="U26" i="1"/>
  <c r="W26" i="1"/>
  <c r="V26" i="1" s="1"/>
  <c r="X26" i="1" s="1"/>
  <c r="U5" i="1"/>
  <c r="W5" i="1"/>
  <c r="V5" i="1" s="1"/>
  <c r="X5" i="1" s="1"/>
  <c r="U61" i="1"/>
  <c r="W61" i="1"/>
  <c r="V61" i="1" s="1"/>
  <c r="X61" i="1" s="1"/>
  <c r="U13" i="1"/>
  <c r="W13" i="1"/>
  <c r="V13" i="1" s="1"/>
  <c r="X13" i="1" s="1"/>
  <c r="U14" i="1"/>
  <c r="W14" i="1"/>
  <c r="V14" i="1" s="1"/>
  <c r="X14" i="1" s="1"/>
  <c r="U32" i="1"/>
  <c r="W32" i="1"/>
  <c r="V32" i="1" s="1"/>
  <c r="X32" i="1" s="1"/>
  <c r="U11" i="1"/>
  <c r="W11" i="1"/>
  <c r="V11" i="1" s="1"/>
  <c r="X11" i="1" s="1"/>
  <c r="U51" i="1"/>
  <c r="W51" i="1"/>
  <c r="V51" i="1" s="1"/>
  <c r="X51" i="1" s="1"/>
  <c r="Y51" i="1" s="1"/>
  <c r="U45" i="1"/>
  <c r="W45" i="1"/>
  <c r="V45" i="1" s="1"/>
  <c r="X45" i="1" s="1"/>
  <c r="U20" i="1"/>
  <c r="W20" i="1"/>
  <c r="V20" i="1" s="1"/>
  <c r="X20" i="1" s="1"/>
  <c r="U16" i="1"/>
  <c r="W16" i="1"/>
  <c r="V16" i="1" s="1"/>
  <c r="X16" i="1" s="1"/>
  <c r="U15" i="1"/>
  <c r="W15" i="1"/>
  <c r="V15" i="1" s="1"/>
  <c r="X15" i="1" s="1"/>
  <c r="U27" i="1"/>
  <c r="W27" i="1"/>
  <c r="V27" i="1" s="1"/>
  <c r="X27" i="1" s="1"/>
  <c r="U33" i="1"/>
  <c r="W33" i="1"/>
  <c r="V33" i="1" s="1"/>
  <c r="X33" i="1" s="1"/>
  <c r="U18" i="1"/>
  <c r="W18" i="1"/>
  <c r="V18" i="1" s="1"/>
  <c r="X18" i="1" s="1"/>
  <c r="U34" i="1"/>
  <c r="W34" i="1"/>
  <c r="V34" i="1" s="1"/>
  <c r="X34" i="1" s="1"/>
  <c r="U22" i="1"/>
  <c r="W22" i="1"/>
  <c r="V22" i="1" s="1"/>
  <c r="X22" i="1" s="1"/>
  <c r="U17" i="1"/>
  <c r="W17" i="1"/>
  <c r="V17" i="1" s="1"/>
  <c r="X17" i="1" s="1"/>
  <c r="U21" i="1"/>
  <c r="W21" i="1"/>
  <c r="V21" i="1" s="1"/>
  <c r="X21" i="1" s="1"/>
  <c r="U24" i="1"/>
  <c r="W24" i="1"/>
  <c r="V24" i="1" s="1"/>
  <c r="X24" i="1" s="1"/>
  <c r="U25" i="1"/>
  <c r="W25" i="1"/>
  <c r="V25" i="1" s="1"/>
  <c r="X25" i="1" s="1"/>
  <c r="U28" i="1"/>
  <c r="W28" i="1"/>
  <c r="V28" i="1" s="1"/>
  <c r="X28" i="1" s="1"/>
  <c r="U23" i="1"/>
  <c r="W23" i="1"/>
  <c r="V23" i="1" s="1"/>
  <c r="X23" i="1" s="1"/>
  <c r="U30" i="1"/>
  <c r="W30" i="1"/>
  <c r="V30" i="1" s="1"/>
  <c r="X30" i="1" s="1"/>
  <c r="U8" i="1"/>
  <c r="W8" i="1"/>
  <c r="V8" i="1" s="1"/>
  <c r="X8" i="1" s="1"/>
  <c r="U35" i="1"/>
  <c r="W35" i="1"/>
  <c r="V35" i="1" s="1"/>
  <c r="X35" i="1" s="1"/>
  <c r="U31" i="1"/>
  <c r="W31" i="1"/>
  <c r="V31" i="1" s="1"/>
  <c r="X31" i="1" s="1"/>
  <c r="U29" i="1"/>
  <c r="W29" i="1"/>
  <c r="V29" i="1" s="1"/>
  <c r="X29" i="1" s="1"/>
  <c r="U48" i="1"/>
  <c r="W48" i="1"/>
  <c r="V48" i="1" s="1"/>
  <c r="X48" i="1" s="1"/>
  <c r="U55" i="1"/>
  <c r="W55" i="1"/>
  <c r="V55" i="1" s="1"/>
  <c r="X55" i="1" s="1"/>
  <c r="U39" i="1"/>
  <c r="W39" i="1"/>
  <c r="V39" i="1" s="1"/>
  <c r="X39" i="1" s="1"/>
  <c r="U38" i="1"/>
  <c r="W38" i="1"/>
  <c r="V38" i="1" s="1"/>
  <c r="X38" i="1" s="1"/>
  <c r="U37" i="1"/>
  <c r="W37" i="1"/>
  <c r="V37" i="1" s="1"/>
  <c r="X37" i="1" s="1"/>
  <c r="U36" i="1"/>
  <c r="W36" i="1"/>
  <c r="V36" i="1" s="1"/>
  <c r="X36" i="1" s="1"/>
  <c r="U40" i="1"/>
  <c r="W40" i="1"/>
  <c r="V40" i="1" s="1"/>
  <c r="X40" i="1" s="1"/>
  <c r="U41" i="1"/>
  <c r="W41" i="1"/>
  <c r="V41" i="1" s="1"/>
  <c r="X41" i="1" s="1"/>
  <c r="U59" i="1"/>
  <c r="W59" i="1"/>
  <c r="V59" i="1" s="1"/>
  <c r="X59" i="1" s="1"/>
  <c r="U43" i="1"/>
  <c r="W43" i="1"/>
  <c r="V43" i="1" s="1"/>
  <c r="X43" i="1" s="1"/>
  <c r="U12" i="1"/>
  <c r="W12" i="1"/>
  <c r="V12" i="1" s="1"/>
  <c r="X12" i="1" s="1"/>
  <c r="U42" i="1"/>
  <c r="W42" i="1"/>
  <c r="V42" i="1" s="1"/>
  <c r="X42" i="1" s="1"/>
  <c r="U53" i="1"/>
  <c r="W53" i="1"/>
  <c r="V53" i="1" s="1"/>
  <c r="X53" i="1" s="1"/>
  <c r="U44" i="1"/>
  <c r="W44" i="1"/>
  <c r="V44" i="1" s="1"/>
  <c r="X44" i="1" s="1"/>
  <c r="U50" i="1"/>
  <c r="W50" i="1"/>
  <c r="V50" i="1" s="1"/>
  <c r="X50" i="1" s="1"/>
  <c r="U49" i="1"/>
  <c r="W49" i="1"/>
  <c r="V49" i="1" s="1"/>
  <c r="X49" i="1" s="1"/>
  <c r="U46" i="1"/>
  <c r="W46" i="1"/>
  <c r="V46" i="1" s="1"/>
  <c r="X46" i="1" s="1"/>
  <c r="U56" i="1"/>
  <c r="W56" i="1"/>
  <c r="V56" i="1" s="1"/>
  <c r="X56" i="1" s="1"/>
  <c r="U54" i="1"/>
  <c r="W54" i="1"/>
  <c r="V54" i="1" s="1"/>
  <c r="X54" i="1" s="1"/>
  <c r="U47" i="1"/>
  <c r="W47" i="1"/>
  <c r="V47" i="1" s="1"/>
  <c r="X47" i="1" s="1"/>
  <c r="U57" i="1"/>
  <c r="W57" i="1"/>
  <c r="V57" i="1" s="1"/>
  <c r="X57" i="1" s="1"/>
  <c r="U58" i="1"/>
  <c r="W58" i="1"/>
  <c r="V58" i="1" s="1"/>
  <c r="X58" i="1" s="1"/>
  <c r="U60" i="1"/>
  <c r="W60" i="1"/>
  <c r="V60" i="1" s="1"/>
  <c r="X60" i="1" s="1"/>
  <c r="U73" i="1"/>
  <c r="W73" i="1"/>
  <c r="V73" i="1" s="1"/>
  <c r="X73" i="1" s="1"/>
  <c r="U2" i="1"/>
  <c r="W2" i="1"/>
  <c r="V2" i="1" s="1"/>
  <c r="X2" i="1" s="1"/>
  <c r="U64" i="1"/>
  <c r="W64" i="1"/>
  <c r="V64" i="1" s="1"/>
  <c r="X64" i="1" s="1"/>
  <c r="U65" i="1"/>
  <c r="W65" i="1"/>
  <c r="V65" i="1" s="1"/>
  <c r="X65" i="1" s="1"/>
  <c r="U69" i="1"/>
  <c r="W69" i="1"/>
  <c r="V69" i="1" s="1"/>
  <c r="X69" i="1" s="1"/>
  <c r="U75" i="1"/>
  <c r="W75" i="1"/>
  <c r="V75" i="1" s="1"/>
  <c r="X75" i="1" s="1"/>
  <c r="U67" i="1"/>
  <c r="W67" i="1"/>
  <c r="V67" i="1" s="1"/>
  <c r="X67" i="1" s="1"/>
  <c r="U72" i="1"/>
  <c r="W72" i="1"/>
  <c r="V72" i="1" s="1"/>
  <c r="X72" i="1" s="1"/>
  <c r="U63" i="1"/>
  <c r="W63" i="1"/>
  <c r="V63" i="1" s="1"/>
  <c r="X63" i="1" s="1"/>
  <c r="U71" i="1"/>
  <c r="W71" i="1"/>
  <c r="V71" i="1" s="1"/>
  <c r="X71" i="1" s="1"/>
  <c r="U76" i="1"/>
  <c r="W76" i="1"/>
  <c r="V76" i="1" s="1"/>
  <c r="X76" i="1" s="1"/>
  <c r="U66" i="1"/>
  <c r="W66" i="1"/>
  <c r="V66" i="1" s="1"/>
  <c r="X66" i="1" s="1"/>
  <c r="U74" i="1"/>
  <c r="W74" i="1"/>
  <c r="V74" i="1" s="1"/>
  <c r="X74" i="1" s="1"/>
  <c r="U68" i="1"/>
  <c r="W68" i="1"/>
  <c r="V68" i="1" s="1"/>
  <c r="X68" i="1" s="1"/>
  <c r="U70" i="1"/>
  <c r="W70" i="1"/>
  <c r="V70" i="1" s="1"/>
  <c r="X70" i="1" s="1"/>
  <c r="W62" i="1"/>
  <c r="V62" i="1" s="1"/>
  <c r="X62" i="1" s="1"/>
  <c r="U62" i="1"/>
  <c r="O6" i="1"/>
  <c r="O16" i="1"/>
  <c r="O18" i="1"/>
  <c r="O41" i="1"/>
  <c r="P76" i="1"/>
  <c r="M62" i="1"/>
  <c r="P62" i="1" s="1"/>
  <c r="L62" i="1"/>
  <c r="O62" i="1" s="1"/>
  <c r="K62" i="1"/>
  <c r="N62" i="1" s="1"/>
  <c r="J62" i="1"/>
  <c r="P10" i="1"/>
  <c r="Q10" i="1"/>
  <c r="R10" i="1" s="1"/>
  <c r="S10" i="1" s="1"/>
  <c r="Q9" i="1"/>
  <c r="R9" i="1" s="1"/>
  <c r="S9" i="1" s="1"/>
  <c r="Q19" i="1"/>
  <c r="R19" i="1" s="1"/>
  <c r="S19" i="1" s="1"/>
  <c r="P6" i="1"/>
  <c r="Q6" i="1"/>
  <c r="R6" i="1" s="1"/>
  <c r="S6" i="1" s="1"/>
  <c r="Q20" i="1"/>
  <c r="R20" i="1" s="1"/>
  <c r="S20" i="1" s="1"/>
  <c r="Q27" i="1"/>
  <c r="R27" i="1" s="1"/>
  <c r="S27" i="1" s="1"/>
  <c r="Q32" i="1"/>
  <c r="R32" i="1" s="1"/>
  <c r="S32" i="1" s="1"/>
  <c r="P16" i="1"/>
  <c r="Q16" i="1"/>
  <c r="R16" i="1" s="1"/>
  <c r="S16" i="1" s="1"/>
  <c r="Q22" i="1"/>
  <c r="R22" i="1" s="1"/>
  <c r="S22" i="1" s="1"/>
  <c r="Q18" i="1"/>
  <c r="R18" i="1" s="1"/>
  <c r="S18" i="1" s="1"/>
  <c r="Q14" i="1"/>
  <c r="R14" i="1" s="1"/>
  <c r="S14" i="1" s="1"/>
  <c r="Q45" i="1"/>
  <c r="R45" i="1" s="1"/>
  <c r="S45" i="1" s="1"/>
  <c r="Q24" i="1"/>
  <c r="R24" i="1" s="1"/>
  <c r="S24" i="1" s="1"/>
  <c r="Q17" i="1"/>
  <c r="R17" i="1" s="1"/>
  <c r="S17" i="1" s="1"/>
  <c r="P30" i="1"/>
  <c r="Q30" i="1"/>
  <c r="R30" i="1" s="1"/>
  <c r="S30" i="1" s="1"/>
  <c r="Q33" i="1"/>
  <c r="R33" i="1" s="1"/>
  <c r="S33" i="1" s="1"/>
  <c r="Q21" i="1"/>
  <c r="R21" i="1" s="1"/>
  <c r="S21" i="1" s="1"/>
  <c r="Q31" i="1"/>
  <c r="R31" i="1" s="1"/>
  <c r="S31" i="1" s="1"/>
  <c r="Q35" i="1"/>
  <c r="R35" i="1" s="1"/>
  <c r="S35" i="1" s="1"/>
  <c r="Q28" i="1"/>
  <c r="R28" i="1" s="1"/>
  <c r="S28" i="1" s="1"/>
  <c r="P15" i="1"/>
  <c r="Q15" i="1"/>
  <c r="R15" i="1" s="1"/>
  <c r="S15" i="1" s="1"/>
  <c r="Q52" i="1"/>
  <c r="R52" i="1" s="1"/>
  <c r="S52" i="1" s="1"/>
  <c r="Q29" i="1"/>
  <c r="R29" i="1" s="1"/>
  <c r="S29" i="1" s="1"/>
  <c r="Q34" i="1"/>
  <c r="R34" i="1" s="1"/>
  <c r="S34" i="1" s="1"/>
  <c r="P37" i="1"/>
  <c r="Q37" i="1"/>
  <c r="R37" i="1" s="1"/>
  <c r="S37" i="1" s="1"/>
  <c r="Q23" i="1"/>
  <c r="R23" i="1" s="1"/>
  <c r="S23" i="1" s="1"/>
  <c r="Q7" i="1"/>
  <c r="R7" i="1" s="1"/>
  <c r="S7" i="1" s="1"/>
  <c r="Q11" i="1"/>
  <c r="R11" i="1" s="1"/>
  <c r="S11" i="1" s="1"/>
  <c r="Q36" i="1"/>
  <c r="R36" i="1" s="1"/>
  <c r="S36" i="1" s="1"/>
  <c r="Q25" i="1"/>
  <c r="R25" i="1" s="1"/>
  <c r="S25" i="1" s="1"/>
  <c r="P51" i="1"/>
  <c r="Q51" i="1"/>
  <c r="R51" i="1" s="1"/>
  <c r="S51" i="1" s="1"/>
  <c r="Q48" i="1"/>
  <c r="R48" i="1" s="1"/>
  <c r="S48" i="1" s="1"/>
  <c r="P38" i="1"/>
  <c r="Q38" i="1"/>
  <c r="R38" i="1" s="1"/>
  <c r="S38" i="1" s="1"/>
  <c r="Q59" i="1"/>
  <c r="R59" i="1" s="1"/>
  <c r="S59" i="1" s="1"/>
  <c r="Q40" i="1"/>
  <c r="R40" i="1" s="1"/>
  <c r="S40" i="1" s="1"/>
  <c r="Q41" i="1"/>
  <c r="R41" i="1" s="1"/>
  <c r="S41" i="1" s="1"/>
  <c r="Q55" i="1"/>
  <c r="R55" i="1" s="1"/>
  <c r="S55" i="1" s="1"/>
  <c r="Q13" i="1"/>
  <c r="R13" i="1" s="1"/>
  <c r="S13" i="1" s="1"/>
  <c r="Q8" i="1"/>
  <c r="R8" i="1" s="1"/>
  <c r="S8" i="1" s="1"/>
  <c r="Q43" i="1"/>
  <c r="R43" i="1" s="1"/>
  <c r="S43" i="1" s="1"/>
  <c r="Q42" i="1"/>
  <c r="R42" i="1" s="1"/>
  <c r="S42" i="1" s="1"/>
  <c r="Q39" i="1"/>
  <c r="R39" i="1" s="1"/>
  <c r="S39" i="1" s="1"/>
  <c r="P44" i="1"/>
  <c r="Q44" i="1"/>
  <c r="R44" i="1" s="1"/>
  <c r="S44" i="1" s="1"/>
  <c r="Q53" i="1"/>
  <c r="R53" i="1" s="1"/>
  <c r="S53" i="1" s="1"/>
  <c r="Q50" i="1"/>
  <c r="R50" i="1" s="1"/>
  <c r="S50" i="1" s="1"/>
  <c r="Q49" i="1"/>
  <c r="R49" i="1" s="1"/>
  <c r="S49" i="1" s="1"/>
  <c r="Q46" i="1"/>
  <c r="R46" i="1" s="1"/>
  <c r="S46" i="1" s="1"/>
  <c r="Q56" i="1"/>
  <c r="R56" i="1" s="1"/>
  <c r="S56" i="1" s="1"/>
  <c r="Q54" i="1"/>
  <c r="R54" i="1" s="1"/>
  <c r="S54" i="1" s="1"/>
  <c r="Q47" i="1"/>
  <c r="R47" i="1" s="1"/>
  <c r="S47" i="1" s="1"/>
  <c r="Q5" i="1"/>
  <c r="R5" i="1" s="1"/>
  <c r="S5" i="1" s="1"/>
  <c r="N26" i="1"/>
  <c r="Q26" i="1"/>
  <c r="R26" i="1" s="1"/>
  <c r="S26" i="1" s="1"/>
  <c r="Q57" i="1"/>
  <c r="R57" i="1" s="1"/>
  <c r="S57" i="1" s="1"/>
  <c r="Q58" i="1"/>
  <c r="R58" i="1" s="1"/>
  <c r="S58" i="1" s="1"/>
  <c r="O61" i="1"/>
  <c r="P61" i="1"/>
  <c r="Q61" i="1"/>
  <c r="R61" i="1" s="1"/>
  <c r="S61" i="1" s="1"/>
  <c r="Q3" i="1"/>
  <c r="R3" i="1" s="1"/>
  <c r="S3" i="1" s="1"/>
  <c r="P12" i="1"/>
  <c r="Q12" i="1"/>
  <c r="R12" i="1" s="1"/>
  <c r="S12" i="1" s="1"/>
  <c r="Q60" i="1"/>
  <c r="R60" i="1" s="1"/>
  <c r="S60" i="1" s="1"/>
  <c r="Q62" i="1"/>
  <c r="R62" i="1" s="1"/>
  <c r="S62" i="1" s="1"/>
  <c r="Q2" i="1"/>
  <c r="R2" i="1" s="1"/>
  <c r="S2" i="1" s="1"/>
  <c r="Q73" i="1"/>
  <c r="R73" i="1" s="1"/>
  <c r="S73" i="1" s="1"/>
  <c r="P75" i="1"/>
  <c r="Q75" i="1"/>
  <c r="R75" i="1" s="1"/>
  <c r="S75" i="1" s="1"/>
  <c r="Q65" i="1"/>
  <c r="R65" i="1" s="1"/>
  <c r="S65" i="1" s="1"/>
  <c r="Q69" i="1"/>
  <c r="R69" i="1" s="1"/>
  <c r="S69" i="1" s="1"/>
  <c r="Q64" i="1"/>
  <c r="R64" i="1" s="1"/>
  <c r="S64" i="1" s="1"/>
  <c r="Q67" i="1"/>
  <c r="R67" i="1" s="1"/>
  <c r="S67" i="1" s="1"/>
  <c r="Q72" i="1"/>
  <c r="R72" i="1" s="1"/>
  <c r="S72" i="1" s="1"/>
  <c r="Q71" i="1"/>
  <c r="R71" i="1" s="1"/>
  <c r="S71" i="1" s="1"/>
  <c r="Q76" i="1"/>
  <c r="R76" i="1" s="1"/>
  <c r="S76" i="1" s="1"/>
  <c r="P63" i="1"/>
  <c r="Q63" i="1"/>
  <c r="R63" i="1" s="1"/>
  <c r="S63" i="1" s="1"/>
  <c r="Q66" i="1"/>
  <c r="R66" i="1" s="1"/>
  <c r="S66" i="1" s="1"/>
  <c r="Q74" i="1"/>
  <c r="R74" i="1" s="1"/>
  <c r="S74" i="1" s="1"/>
  <c r="Q68" i="1"/>
  <c r="R68" i="1" s="1"/>
  <c r="S68" i="1" s="1"/>
  <c r="Q70" i="1"/>
  <c r="R70" i="1" s="1"/>
  <c r="S70" i="1" s="1"/>
  <c r="AD67" i="1"/>
  <c r="AD74" i="1"/>
  <c r="AD65" i="1"/>
  <c r="AD71" i="1"/>
  <c r="AD57" i="1"/>
  <c r="AD32" i="1"/>
  <c r="AD33" i="1"/>
  <c r="AD54" i="1"/>
  <c r="AD30" i="1"/>
  <c r="AD24" i="1"/>
  <c r="AD37" i="1"/>
  <c r="AD36" i="1"/>
  <c r="AD20" i="1"/>
  <c r="AD44" i="1"/>
  <c r="AD40" i="1"/>
  <c r="AD58" i="1"/>
  <c r="AD31" i="1"/>
  <c r="AD50" i="1"/>
  <c r="AD47" i="1"/>
  <c r="AD22" i="1"/>
  <c r="AD49" i="1"/>
  <c r="AD38" i="1"/>
  <c r="AD60" i="1"/>
  <c r="AD46" i="1"/>
  <c r="AD35" i="1"/>
  <c r="AD42" i="1"/>
  <c r="AD27" i="1"/>
  <c r="AD28" i="1"/>
  <c r="AD56" i="1"/>
  <c r="AD29" i="1"/>
  <c r="AD7" i="1"/>
  <c r="AD53" i="1"/>
  <c r="AD41" i="1"/>
  <c r="AD25" i="1"/>
  <c r="AD43" i="1"/>
  <c r="AD48" i="1"/>
  <c r="AD5" i="1"/>
  <c r="AD21" i="1"/>
  <c r="AD52" i="1"/>
  <c r="AD17" i="1"/>
  <c r="AD55" i="1"/>
  <c r="AD16" i="1"/>
  <c r="AD18" i="1"/>
  <c r="AD19" i="1"/>
  <c r="AD34" i="1"/>
  <c r="AD51" i="1"/>
  <c r="AD39" i="1"/>
  <c r="AD9" i="1"/>
  <c r="AD45" i="1"/>
  <c r="AD6" i="1"/>
  <c r="AD23" i="1"/>
  <c r="AD13" i="1"/>
  <c r="AD26" i="1"/>
  <c r="AD14" i="1"/>
  <c r="AD11" i="1"/>
  <c r="AD69" i="1"/>
  <c r="AD8" i="1"/>
  <c r="AD15" i="1"/>
  <c r="AD12" i="1"/>
  <c r="AD59" i="1"/>
  <c r="AD4" i="1"/>
  <c r="Q4" i="1"/>
  <c r="R4" i="1" s="1"/>
  <c r="S4" i="1" s="1"/>
  <c r="P4" i="1"/>
  <c r="O4" i="1"/>
  <c r="AD10" i="1"/>
  <c r="AD72" i="1"/>
  <c r="AD70" i="1"/>
  <c r="AD61" i="1"/>
  <c r="AD66" i="1"/>
  <c r="AD3" i="1"/>
  <c r="AD64" i="1"/>
  <c r="AD68" i="1"/>
  <c r="AD73" i="1"/>
  <c r="AD76" i="1"/>
  <c r="AD75" i="1"/>
  <c r="AD62" i="1"/>
  <c r="AD63" i="1"/>
  <c r="AD2" i="1"/>
  <c r="Y58" i="1" l="1"/>
  <c r="Y57" i="1"/>
  <c r="Y22" i="1"/>
  <c r="Y9" i="1"/>
  <c r="Y36" i="1"/>
  <c r="Y55" i="1"/>
  <c r="Y30" i="1"/>
  <c r="Y37" i="1"/>
  <c r="Y19" i="1"/>
  <c r="Y43" i="1"/>
  <c r="Y3" i="1"/>
  <c r="Y6" i="1"/>
  <c r="Y73" i="1"/>
  <c r="Y67" i="1"/>
  <c r="Y65" i="1"/>
  <c r="Y66" i="1"/>
  <c r="Y39" i="1"/>
  <c r="Y15" i="1"/>
  <c r="Y47" i="1"/>
  <c r="Y34" i="1"/>
  <c r="Y7" i="1"/>
  <c r="Y18" i="1"/>
  <c r="Y20" i="1"/>
  <c r="Y13" i="1"/>
  <c r="T25" i="1"/>
  <c r="Y31" i="1"/>
  <c r="Y45" i="1"/>
  <c r="Y33" i="1"/>
  <c r="Y8" i="1"/>
  <c r="Y56" i="1"/>
  <c r="Y41" i="1"/>
  <c r="Y38" i="1"/>
  <c r="Y2" i="1"/>
  <c r="Y72" i="1"/>
  <c r="Y68" i="1"/>
  <c r="T42" i="1"/>
  <c r="Y4" i="1"/>
  <c r="Y76" i="1"/>
  <c r="Y61" i="1"/>
  <c r="Y40" i="1"/>
  <c r="T4" i="1"/>
  <c r="Y17" i="1"/>
  <c r="Y14" i="1"/>
  <c r="Y16" i="1"/>
  <c r="Y53" i="1"/>
  <c r="Y71" i="1"/>
  <c r="Y63" i="1"/>
  <c r="Y75" i="1"/>
  <c r="Y62" i="1"/>
  <c r="Y26" i="1"/>
  <c r="Y49" i="1"/>
  <c r="T71" i="1"/>
  <c r="T64" i="1"/>
  <c r="Y69" i="1"/>
  <c r="Y70" i="1"/>
  <c r="T8" i="1"/>
  <c r="Y29" i="1"/>
  <c r="T41" i="1"/>
  <c r="Z41" i="1" s="1"/>
  <c r="AB41" i="1" s="1"/>
  <c r="T31" i="1"/>
  <c r="Y59" i="1"/>
  <c r="Y25" i="1"/>
  <c r="Y23" i="1"/>
  <c r="T18" i="1"/>
  <c r="T27" i="1"/>
  <c r="Y10" i="1"/>
  <c r="Y64" i="1"/>
  <c r="T75" i="1"/>
  <c r="Y42" i="1"/>
  <c r="Y60" i="1"/>
  <c r="Y5" i="1"/>
  <c r="Y46" i="1"/>
  <c r="Y12" i="1"/>
  <c r="T46" i="1"/>
  <c r="Y21" i="1"/>
  <c r="T30" i="1"/>
  <c r="Y24" i="1"/>
  <c r="T63" i="1"/>
  <c r="T36" i="1"/>
  <c r="Z36" i="1" s="1"/>
  <c r="AB36" i="1" s="1"/>
  <c r="Y52" i="1"/>
  <c r="T66" i="1"/>
  <c r="T58" i="1"/>
  <c r="Z58" i="1" s="1"/>
  <c r="AB58" i="1" s="1"/>
  <c r="Y44" i="1"/>
  <c r="Y48" i="1"/>
  <c r="Y11" i="1"/>
  <c r="T37" i="1"/>
  <c r="T33" i="1"/>
  <c r="T32" i="1"/>
  <c r="T59" i="1"/>
  <c r="T28" i="1"/>
  <c r="Y27" i="1"/>
  <c r="T23" i="1"/>
  <c r="Y35" i="1"/>
  <c r="Y32" i="1"/>
  <c r="T76" i="1"/>
  <c r="T60" i="1"/>
  <c r="Y74" i="1"/>
  <c r="T5" i="1"/>
  <c r="Y54" i="1"/>
  <c r="T69" i="1"/>
  <c r="Y50" i="1"/>
  <c r="T67" i="1"/>
  <c r="T39" i="1"/>
  <c r="T22" i="1"/>
  <c r="Z22" i="1" s="1"/>
  <c r="AB22" i="1" s="1"/>
  <c r="T9" i="1"/>
  <c r="Z9" i="1" s="1"/>
  <c r="AB9" i="1" s="1"/>
  <c r="T57" i="1"/>
  <c r="Z57" i="1" s="1"/>
  <c r="AB57" i="1" s="1"/>
  <c r="T43" i="1"/>
  <c r="T54" i="1"/>
  <c r="T53" i="1"/>
  <c r="T50" i="1"/>
  <c r="T74" i="1"/>
  <c r="T73" i="1"/>
  <c r="T47" i="1"/>
  <c r="T68" i="1"/>
  <c r="T12" i="1"/>
  <c r="T70" i="1"/>
  <c r="T65" i="1"/>
  <c r="T62" i="1"/>
  <c r="T3" i="1"/>
  <c r="T26" i="1"/>
  <c r="T49" i="1"/>
  <c r="T44" i="1"/>
  <c r="T2" i="1"/>
  <c r="T40" i="1"/>
  <c r="T45" i="1"/>
  <c r="T14" i="1"/>
  <c r="T72" i="1"/>
  <c r="T55" i="1"/>
  <c r="Z55" i="1" s="1"/>
  <c r="AB55" i="1" s="1"/>
  <c r="T51" i="1"/>
  <c r="Z51" i="1" s="1"/>
  <c r="AB51" i="1" s="1"/>
  <c r="T13" i="1"/>
  <c r="T7" i="1"/>
  <c r="T19" i="1"/>
  <c r="T15" i="1"/>
  <c r="Z15" i="1" s="1"/>
  <c r="AB15" i="1" s="1"/>
  <c r="T21" i="1"/>
  <c r="T24" i="1"/>
  <c r="T56" i="1"/>
  <c r="T48" i="1"/>
  <c r="T34" i="1"/>
  <c r="T52" i="1"/>
  <c r="Y28" i="1"/>
  <c r="T16" i="1"/>
  <c r="T61" i="1"/>
  <c r="T11" i="1"/>
  <c r="T29" i="1"/>
  <c r="Z29" i="1" s="1"/>
  <c r="AB29" i="1" s="1"/>
  <c r="T35" i="1"/>
  <c r="T17" i="1"/>
  <c r="T20" i="1"/>
  <c r="T6" i="1"/>
  <c r="T38" i="1"/>
  <c r="T10" i="1"/>
  <c r="Z10" i="1" l="1"/>
  <c r="AB10" i="1" s="1"/>
  <c r="Z47" i="1"/>
  <c r="AB47" i="1" s="1"/>
  <c r="Z49" i="1"/>
  <c r="AB49" i="1" s="1"/>
  <c r="Z31" i="1"/>
  <c r="AB31" i="1" s="1"/>
  <c r="Z26" i="1"/>
  <c r="AB26" i="1" s="1"/>
  <c r="Z16" i="1"/>
  <c r="AB16" i="1" s="1"/>
  <c r="Z37" i="1"/>
  <c r="AB37" i="1" s="1"/>
  <c r="Z19" i="1"/>
  <c r="AB19" i="1" s="1"/>
  <c r="Z3" i="1"/>
  <c r="AB3" i="1" s="1"/>
  <c r="Z34" i="1"/>
  <c r="AB34" i="1" s="1"/>
  <c r="Z50" i="1"/>
  <c r="AB50" i="1" s="1"/>
  <c r="Z43" i="1"/>
  <c r="AB43" i="1" s="1"/>
  <c r="Z7" i="1"/>
  <c r="AB7" i="1" s="1"/>
  <c r="Z38" i="1"/>
  <c r="AB38" i="1" s="1"/>
  <c r="Z56" i="1"/>
  <c r="AB56" i="1" s="1"/>
  <c r="Z17" i="1"/>
  <c r="AB17" i="1" s="1"/>
  <c r="Z69" i="1"/>
  <c r="AB69" i="1" s="1"/>
  <c r="Z30" i="1"/>
  <c r="AB30" i="1" s="1"/>
  <c r="Z52" i="1"/>
  <c r="AB52" i="1" s="1"/>
  <c r="Z14" i="1"/>
  <c r="AB14" i="1" s="1"/>
  <c r="Z25" i="1"/>
  <c r="AB25" i="1" s="1"/>
  <c r="Z68" i="1"/>
  <c r="AB68" i="1" s="1"/>
  <c r="Z6" i="1"/>
  <c r="AB6" i="1" s="1"/>
  <c r="Z71" i="1"/>
  <c r="AB71" i="1" s="1"/>
  <c r="Z73" i="1"/>
  <c r="AB73" i="1" s="1"/>
  <c r="Z2" i="1"/>
  <c r="AB2" i="1" s="1"/>
  <c r="Z62" i="1"/>
  <c r="AB62" i="1" s="1"/>
  <c r="Z8" i="1"/>
  <c r="AB8" i="1" s="1"/>
  <c r="Z27" i="1"/>
  <c r="AB27" i="1" s="1"/>
  <c r="Z33" i="1"/>
  <c r="AB33" i="1" s="1"/>
  <c r="Z59" i="1"/>
  <c r="AB59" i="1" s="1"/>
  <c r="Z65" i="1"/>
  <c r="AB65" i="1" s="1"/>
  <c r="Z76" i="1"/>
  <c r="AB76" i="1" s="1"/>
  <c r="Z21" i="1"/>
  <c r="AB21" i="1" s="1"/>
  <c r="Z32" i="1"/>
  <c r="AB32" i="1" s="1"/>
  <c r="Z44" i="1"/>
  <c r="AB44" i="1" s="1"/>
  <c r="Z5" i="1"/>
  <c r="AB5" i="1" s="1"/>
  <c r="Z18" i="1"/>
  <c r="AB18" i="1" s="1"/>
  <c r="Z60" i="1"/>
  <c r="AB60" i="1" s="1"/>
  <c r="Z23" i="1"/>
  <c r="AB23" i="1" s="1"/>
  <c r="Z66" i="1"/>
  <c r="AB66" i="1" s="1"/>
  <c r="Z45" i="1"/>
  <c r="AB45" i="1" s="1"/>
  <c r="Z61" i="1"/>
  <c r="AB61" i="1" s="1"/>
  <c r="Z39" i="1"/>
  <c r="AB39" i="1" s="1"/>
  <c r="Z24" i="1"/>
  <c r="AB24" i="1" s="1"/>
  <c r="Z40" i="1"/>
  <c r="AB40" i="1" s="1"/>
  <c r="Z67" i="1"/>
  <c r="AB67" i="1" s="1"/>
  <c r="Z64" i="1"/>
  <c r="AB64" i="1" s="1"/>
  <c r="Z35" i="1"/>
  <c r="AB35" i="1" s="1"/>
  <c r="Z12" i="1"/>
  <c r="AB12" i="1" s="1"/>
  <c r="Z13" i="1"/>
  <c r="AB13" i="1" s="1"/>
  <c r="Z20" i="1"/>
  <c r="AB20" i="1" s="1"/>
  <c r="Z42" i="1"/>
  <c r="AB42" i="1" s="1"/>
  <c r="Z75" i="1"/>
  <c r="AB75" i="1" s="1"/>
  <c r="Z63" i="1"/>
  <c r="AB63" i="1" s="1"/>
  <c r="Z53" i="1"/>
  <c r="AB53" i="1" s="1"/>
  <c r="Z72" i="1"/>
  <c r="AB72" i="1" s="1"/>
  <c r="Z54" i="1"/>
  <c r="AB54" i="1" s="1"/>
  <c r="Z48" i="1"/>
  <c r="AB48" i="1" s="1"/>
  <c r="Z11" i="1"/>
  <c r="AB11" i="1" s="1"/>
  <c r="Z70" i="1"/>
  <c r="AB70" i="1" s="1"/>
  <c r="Z28" i="1"/>
  <c r="AB28" i="1" s="1"/>
  <c r="Z74" i="1"/>
  <c r="AB74" i="1" s="1"/>
  <c r="Z46" i="1"/>
  <c r="AB46" i="1" s="1"/>
  <c r="Z4" i="1"/>
  <c r="AB4" i="1" s="1"/>
</calcChain>
</file>

<file path=xl/sharedStrings.xml><?xml version="1.0" encoding="utf-8"?>
<sst xmlns="http://schemas.openxmlformats.org/spreadsheetml/2006/main" count="4802" uniqueCount="4618">
  <si>
    <t>Pot</t>
  </si>
  <si>
    <t>Base</t>
  </si>
  <si>
    <t>Sec</t>
  </si>
  <si>
    <t>Tert</t>
  </si>
  <si>
    <t>Base Cnt</t>
  </si>
  <si>
    <t>Sec Cnt</t>
  </si>
  <si>
    <t>Tert Cnt</t>
  </si>
  <si>
    <t>Base Price</t>
  </si>
  <si>
    <t>Sec Price</t>
  </si>
  <si>
    <t>Tert Price</t>
  </si>
  <si>
    <t>Sec w/ Goggle</t>
  </si>
  <si>
    <t>Tert w/ Goggle</t>
  </si>
  <si>
    <t>Amulet of chemistry</t>
  </si>
  <si>
    <t>Charge</t>
  </si>
  <si>
    <t>Cost</t>
  </si>
  <si>
    <t>Pot(3)</t>
  </si>
  <si>
    <t>Pot(4)</t>
  </si>
  <si>
    <t>Sale</t>
  </si>
  <si>
    <t>Sale w/ tax</t>
  </si>
  <si>
    <t>Profit</t>
  </si>
  <si>
    <t>Exp</t>
  </si>
  <si>
    <t>GP/Exp</t>
  </si>
  <si>
    <t>Single Dose</t>
  </si>
  <si>
    <t>Volume (1h)</t>
  </si>
  <si>
    <t>Level</t>
  </si>
  <si>
    <t>Divine bastion potion</t>
  </si>
  <si>
    <t>Bastion potion(3)</t>
  </si>
  <si>
    <t>Crystal dust</t>
  </si>
  <si>
    <t>Divine battlemage potion</t>
  </si>
  <si>
    <t>Battlemage potion(3)</t>
  </si>
  <si>
    <t>Divine super combat potion</t>
  </si>
  <si>
    <t>Super combat potion(3)</t>
  </si>
  <si>
    <t>Divine bastion potion(4)</t>
  </si>
  <si>
    <t>Bastion potion(4)</t>
  </si>
  <si>
    <t>Divine battlemage potion(4)</t>
  </si>
  <si>
    <t>Battlemage potion(4)</t>
  </si>
  <si>
    <t>Divine super combat potion(4)</t>
  </si>
  <si>
    <t>Super combat potion(4)</t>
  </si>
  <si>
    <t>Divine super strength potion</t>
  </si>
  <si>
    <t>Super strength(3)</t>
  </si>
  <si>
    <t>Divine ranging potion</t>
  </si>
  <si>
    <t>Ranging potion(3)</t>
  </si>
  <si>
    <t>Extended anti-venom+</t>
  </si>
  <si>
    <t>Anti-venom+(3)</t>
  </si>
  <si>
    <t>Araxyte venom sack</t>
  </si>
  <si>
    <t>Divine super attack potion</t>
  </si>
  <si>
    <t>Super attack(3)</t>
  </si>
  <si>
    <t>Extended anti-venom+(4)</t>
  </si>
  <si>
    <t>Anti-venom+(4)</t>
  </si>
  <si>
    <t>Divine super defence potion</t>
  </si>
  <si>
    <t>Super defence(3)</t>
  </si>
  <si>
    <t>Divine super strength potion(4)</t>
  </si>
  <si>
    <t>Super strength(4)</t>
  </si>
  <si>
    <t>Extended super antifire</t>
  </si>
  <si>
    <t>Super antifire potion(3)</t>
  </si>
  <si>
    <t>Lava scale shard</t>
  </si>
  <si>
    <t>Haemostatic poultice</t>
  </si>
  <si>
    <t>Elkhorn potion (unf)</t>
  </si>
  <si>
    <t>Squid paste</t>
  </si>
  <si>
    <t>Extended super antifire(4)</t>
  </si>
  <si>
    <t>Super antifire potion(4)</t>
  </si>
  <si>
    <t>Prayer regeneration potion</t>
  </si>
  <si>
    <t>Huasca potion (unf)</t>
  </si>
  <si>
    <t>Aldarium</t>
  </si>
  <si>
    <t>Bastion potion</t>
  </si>
  <si>
    <t>Cadantine blood potion (unf)</t>
  </si>
  <si>
    <t>Wine of zamorak</t>
  </si>
  <si>
    <t>Battlemage potion</t>
  </si>
  <si>
    <t>Potato cactus</t>
  </si>
  <si>
    <t>Divine ranging potion(4)</t>
  </si>
  <si>
    <t>Ranging potion(4)</t>
  </si>
  <si>
    <t xml:space="preserve">Haemostatic dressing </t>
  </si>
  <si>
    <t>Cotton yarn</t>
  </si>
  <si>
    <t>Prayer potion</t>
  </si>
  <si>
    <t>Ranarr potion (unf)</t>
  </si>
  <si>
    <t>Snape grass</t>
  </si>
  <si>
    <t>Goading potion</t>
  </si>
  <si>
    <t>Harralander potion (unf)</t>
  </si>
  <si>
    <t>Extended stamina potion</t>
  </si>
  <si>
    <t>Stamina potion(3)</t>
  </si>
  <si>
    <t>Marlin scales</t>
  </si>
  <si>
    <t>Super restore</t>
  </si>
  <si>
    <t>Snapdragon potion (unf)</t>
  </si>
  <si>
    <t>Red spiders' eggs</t>
  </si>
  <si>
    <t>Super attack(4)</t>
  </si>
  <si>
    <t>Super defence(4)</t>
  </si>
  <si>
    <t>Torstol</t>
  </si>
  <si>
    <t>Anti-venom(4)</t>
  </si>
  <si>
    <t>Forgotten brew</t>
  </si>
  <si>
    <t>Ancient brew(3)</t>
  </si>
  <si>
    <t>Ancient essence</t>
  </si>
  <si>
    <t>Anti-venom</t>
  </si>
  <si>
    <t>Antidote++(3)</t>
  </si>
  <si>
    <t>Zulrah's scales</t>
  </si>
  <si>
    <t>Extended stamina potion(4)</t>
  </si>
  <si>
    <t>Stamina potion(4)</t>
  </si>
  <si>
    <t>Stamina potion</t>
  </si>
  <si>
    <t>Super energy(3)</t>
  </si>
  <si>
    <t>Amylase crystal</t>
  </si>
  <si>
    <t>Forgotten brew(4)</t>
  </si>
  <si>
    <t>Ancient brew(4)</t>
  </si>
  <si>
    <t>Super attack</t>
  </si>
  <si>
    <t>Irit potion (unf)</t>
  </si>
  <si>
    <t>Eye of newt</t>
  </si>
  <si>
    <t>Super strength</t>
  </si>
  <si>
    <t>Kwuarm potion (unf)</t>
  </si>
  <si>
    <t>Limpwurt root</t>
  </si>
  <si>
    <t>Antidote++(4)</t>
  </si>
  <si>
    <t>Super energy</t>
  </si>
  <si>
    <t>Avantoe potion (unf)</t>
  </si>
  <si>
    <t>Mort myre fungus</t>
  </si>
  <si>
    <t>Antifire potion(4)</t>
  </si>
  <si>
    <t>Crushed superior dragon bones</t>
  </si>
  <si>
    <t>Super defence</t>
  </si>
  <si>
    <t>Cadantine potion (unf)</t>
  </si>
  <si>
    <t>White berries</t>
  </si>
  <si>
    <t>Guthix balance</t>
  </si>
  <si>
    <t>Restore potion(3)</t>
  </si>
  <si>
    <t>Garlic</t>
  </si>
  <si>
    <t>Silver dust</t>
  </si>
  <si>
    <t>Super energy(4)</t>
  </si>
  <si>
    <t>Super fishing potion</t>
  </si>
  <si>
    <t>Pillar potion (unf)</t>
  </si>
  <si>
    <t>Haddock eye</t>
  </si>
  <si>
    <t>Saradomin brew</t>
  </si>
  <si>
    <t>Toadflax potion (unf)</t>
  </si>
  <si>
    <t>Crushed nest</t>
  </si>
  <si>
    <t>Superantipoison</t>
  </si>
  <si>
    <t>Unicorn horn dust</t>
  </si>
  <si>
    <t>Extreme energy potion</t>
  </si>
  <si>
    <t>Yellow fin</t>
  </si>
  <si>
    <t>Coconut milk</t>
  </si>
  <si>
    <t>Irit leaf</t>
  </si>
  <si>
    <t>Magic roots</t>
  </si>
  <si>
    <t>Ranging potion</t>
  </si>
  <si>
    <t>Dwarf weed potion (unf)</t>
  </si>
  <si>
    <t>Extreme energy potion(4)</t>
  </si>
  <si>
    <t>Antifire potion</t>
  </si>
  <si>
    <t>Lantadyme potion (unf)</t>
  </si>
  <si>
    <t>Dragon scale dust</t>
  </si>
  <si>
    <t>Extended antifire</t>
  </si>
  <si>
    <t>Antifire potion(3)</t>
  </si>
  <si>
    <t>Armadyl brew</t>
  </si>
  <si>
    <t>Umbral potion (unf)</t>
  </si>
  <si>
    <t>Rainbow crab paste</t>
  </si>
  <si>
    <t>Extended antifire(4)</t>
  </si>
  <si>
    <t>Super hunter potion</t>
  </si>
  <si>
    <t>Crab paste</t>
  </si>
  <si>
    <t>Defence potion</t>
  </si>
  <si>
    <t>Menaphite remedy</t>
  </si>
  <si>
    <t>Lily of the sands</t>
  </si>
  <si>
    <t>Zamorak brew</t>
  </si>
  <si>
    <t>Torstol potion (unf)</t>
  </si>
  <si>
    <t>Jangerberries</t>
  </si>
  <si>
    <t>Combat potion</t>
  </si>
  <si>
    <t>Goat horn dust</t>
  </si>
  <si>
    <t>Hunter potion</t>
  </si>
  <si>
    <t>Kebbit teeth dust</t>
  </si>
  <si>
    <t>Weapon poison</t>
  </si>
  <si>
    <t>Energy potion</t>
  </si>
  <si>
    <t>Chocolate dust</t>
  </si>
  <si>
    <t>Agility potion</t>
  </si>
  <si>
    <t>Toad's legs</t>
  </si>
  <si>
    <t>Magic potion</t>
  </si>
  <si>
    <t>Attack potion</t>
  </si>
  <si>
    <t>Guam potion (unf)</t>
  </si>
  <si>
    <t xml:space="preserve">Serum 207 </t>
  </si>
  <si>
    <t>Tarromin potion (unf)</t>
  </si>
  <si>
    <t>Ashes</t>
  </si>
  <si>
    <t>Restore potion</t>
  </si>
  <si>
    <t>Compost potion</t>
  </si>
  <si>
    <t>Volcanic ash</t>
  </si>
  <si>
    <t>Antipoison</t>
  </si>
  <si>
    <t>Marrentill potion (unf)</t>
  </si>
  <si>
    <t>Strength potion</t>
  </si>
  <si>
    <t>Fishing potion</t>
  </si>
  <si>
    <t>Antidote+(4)</t>
  </si>
  <si>
    <t>Toadflax</t>
  </si>
  <si>
    <t>Yew roots</t>
  </si>
  <si>
    <t>Weapon poison(+)</t>
  </si>
  <si>
    <t>Cactus spine</t>
  </si>
  <si>
    <t>Ancient brew</t>
  </si>
  <si>
    <t>Nihil dust</t>
  </si>
  <si>
    <t>Divine super attack potion(4)</t>
  </si>
  <si>
    <t>Divine magic potion</t>
  </si>
  <si>
    <t>Magic potion(3)</t>
  </si>
  <si>
    <t>Divine super defence potion(4)</t>
  </si>
  <si>
    <t>Divine magic potion(4)</t>
  </si>
  <si>
    <t>Magic potion(4)</t>
  </si>
  <si>
    <t>Name</t>
  </si>
  <si>
    <t>High Price</t>
  </si>
  <si>
    <t>Low Price</t>
  </si>
  <si>
    <t>Update Time</t>
  </si>
  <si>
    <t>3rd age amulet</t>
  </si>
  <si>
    <t>3rd age axe</t>
  </si>
  <si>
    <t>3rd age bow</t>
  </si>
  <si>
    <t>3rd age cloak</t>
  </si>
  <si>
    <t>3rd age druidic cloak</t>
  </si>
  <si>
    <t>3rd age druidic robe bottoms</t>
  </si>
  <si>
    <t>3rd age druidic robe top</t>
  </si>
  <si>
    <t>3rd age druidic staff</t>
  </si>
  <si>
    <t>3rd age felling axe</t>
  </si>
  <si>
    <t>3rd age full helmet</t>
  </si>
  <si>
    <t>3rd age kiteshield</t>
  </si>
  <si>
    <t>3rd age longsword</t>
  </si>
  <si>
    <t>3rd age mage hat</t>
  </si>
  <si>
    <t>3rd age pickaxe</t>
  </si>
  <si>
    <t>3rd age platebody</t>
  </si>
  <si>
    <t>3rd age platelegs</t>
  </si>
  <si>
    <t>3rd age plateskirt</t>
  </si>
  <si>
    <t>3rd age range coif</t>
  </si>
  <si>
    <t>3rd age range legs</t>
  </si>
  <si>
    <t>3rd age range top</t>
  </si>
  <si>
    <t>3rd age robe</t>
  </si>
  <si>
    <t>3rd age robe top</t>
  </si>
  <si>
    <t>3rd age vambraces</t>
  </si>
  <si>
    <t>3rd age wand</t>
  </si>
  <si>
    <t>A powdered wig</t>
  </si>
  <si>
    <t>Abyssal ashes</t>
  </si>
  <si>
    <t>Abyssal bludgeon</t>
  </si>
  <si>
    <t>Abyssal bracelet(5)</t>
  </si>
  <si>
    <t>Abyssal dagger</t>
  </si>
  <si>
    <t>Abyssal dagger (p)</t>
  </si>
  <si>
    <t>Abyssal dagger (p+)</t>
  </si>
  <si>
    <t>Abyssal dagger (p++)</t>
  </si>
  <si>
    <t>Abyssal whip</t>
  </si>
  <si>
    <t>Accumulation charm</t>
  </si>
  <si>
    <t>Accursed sceptre (au)</t>
  </si>
  <si>
    <t>Accursed sceptre (u)</t>
  </si>
  <si>
    <t>Achey tree logs</t>
  </si>
  <si>
    <t>Acorn</t>
  </si>
  <si>
    <t>Adamant 2h sword</t>
  </si>
  <si>
    <t>Adamant arrow</t>
  </si>
  <si>
    <t>Adamant arrow(p)</t>
  </si>
  <si>
    <t>Adamant arrow(p+)</t>
  </si>
  <si>
    <t>Adamant arrow(p++)</t>
  </si>
  <si>
    <t>Adamant arrowtips</t>
  </si>
  <si>
    <t>Adamant axe</t>
  </si>
  <si>
    <t>Adamant battleaxe</t>
  </si>
  <si>
    <t>Adamant bolts</t>
  </si>
  <si>
    <t>Adamant bolts (p)</t>
  </si>
  <si>
    <t>Adamant bolts (p+)</t>
  </si>
  <si>
    <t>Adamant bolts (p++)</t>
  </si>
  <si>
    <t>Adamant bolts(unf)</t>
  </si>
  <si>
    <t>Adamant boots</t>
  </si>
  <si>
    <t>Adamant brutal</t>
  </si>
  <si>
    <t>Adamant cane</t>
  </si>
  <si>
    <t>Adamant cannonball</t>
  </si>
  <si>
    <t>Adamant chainbody</t>
  </si>
  <si>
    <t>Adamant claws</t>
  </si>
  <si>
    <t>Adamant crossbow</t>
  </si>
  <si>
    <t>Adamant crossbow (u)</t>
  </si>
  <si>
    <t>Adamant dagger</t>
  </si>
  <si>
    <t>Adamant dagger(p)</t>
  </si>
  <si>
    <t>Adamant dagger(p+)</t>
  </si>
  <si>
    <t>Adamant dagger(p++)</t>
  </si>
  <si>
    <t>Adamant dart</t>
  </si>
  <si>
    <t>Adamant dart tip</t>
  </si>
  <si>
    <t>Adamant dart(p)</t>
  </si>
  <si>
    <t>Adamant dart(p+)</t>
  </si>
  <si>
    <t>Adamant dart(p++)</t>
  </si>
  <si>
    <t>Adamant dragon mask</t>
  </si>
  <si>
    <t>Adamant felling axe</t>
  </si>
  <si>
    <t>Adamant full helm</t>
  </si>
  <si>
    <t>Adamant full helm (g)</t>
  </si>
  <si>
    <t>Adamant full helm (t)</t>
  </si>
  <si>
    <t>Adamant gold-trimmed set (lg)</t>
  </si>
  <si>
    <t>Adamant gold-trimmed set (sk)</t>
  </si>
  <si>
    <t>Adamant halberd</t>
  </si>
  <si>
    <t>Adamant hasta</t>
  </si>
  <si>
    <t>Adamant hasta(p)</t>
  </si>
  <si>
    <t>Adamant hasta(p+)</t>
  </si>
  <si>
    <t>Adamant hasta(p++)</t>
  </si>
  <si>
    <t>Adamant helm (h1)</t>
  </si>
  <si>
    <t>Adamant helm (h2)</t>
  </si>
  <si>
    <t>Adamant helm (h3)</t>
  </si>
  <si>
    <t>Adamant helm (h4)</t>
  </si>
  <si>
    <t>Adamant helm (h5)</t>
  </si>
  <si>
    <t>Adamant javelin</t>
  </si>
  <si>
    <t>Adamant javelin tips</t>
  </si>
  <si>
    <t>Adamant javelin(p)</t>
  </si>
  <si>
    <t>Adamant javelin(p+)</t>
  </si>
  <si>
    <t>Adamant javelin(p++)</t>
  </si>
  <si>
    <t>Adamant keel parts</t>
  </si>
  <si>
    <t>Adamant kiteshield</t>
  </si>
  <si>
    <t>Adamant kiteshield (g)</t>
  </si>
  <si>
    <t>Adamant kiteshield (t)</t>
  </si>
  <si>
    <t>Adamant knife</t>
  </si>
  <si>
    <t>Adamant knife(p)</t>
  </si>
  <si>
    <t>Adamant knife(p+)</t>
  </si>
  <si>
    <t>Adamant knife(p++)</t>
  </si>
  <si>
    <t>Adamant longsword</t>
  </si>
  <si>
    <t>Adamant mace</t>
  </si>
  <si>
    <t>Adamant med helm</t>
  </si>
  <si>
    <t>Adamant pickaxe</t>
  </si>
  <si>
    <t>Adamant platebody</t>
  </si>
  <si>
    <t>Adamant platebody (g)</t>
  </si>
  <si>
    <t>Adamant platebody (h1)</t>
  </si>
  <si>
    <t>Adamant platebody (h2)</t>
  </si>
  <si>
    <t>Adamant platebody (h3)</t>
  </si>
  <si>
    <t>Adamant platebody (h4)</t>
  </si>
  <si>
    <t>Adamant platebody (h5)</t>
  </si>
  <si>
    <t>Adamant platebody (t)</t>
  </si>
  <si>
    <t>Adamant platelegs</t>
  </si>
  <si>
    <t>Adamant platelegs (g)</t>
  </si>
  <si>
    <t>Adamant platelegs (t)</t>
  </si>
  <si>
    <t>Adamant plateskirt</t>
  </si>
  <si>
    <t>Adamant plateskirt (g)</t>
  </si>
  <si>
    <t>Adamant plateskirt (t)</t>
  </si>
  <si>
    <t>Adamant scimitar</t>
  </si>
  <si>
    <t>Adamant seeds</t>
  </si>
  <si>
    <t>Adamant set (lg)</t>
  </si>
  <si>
    <t>Adamant set (sk)</t>
  </si>
  <si>
    <t>Adamant shield (h1)</t>
  </si>
  <si>
    <t>Adamant shield (h2)</t>
  </si>
  <si>
    <t>Adamant shield (h3)</t>
  </si>
  <si>
    <t>Adamant shield (h4)</t>
  </si>
  <si>
    <t>Adamant shield (h5)</t>
  </si>
  <si>
    <t>Adamant spear</t>
  </si>
  <si>
    <t>Adamant spear(p)</t>
  </si>
  <si>
    <t>Adamant spear(p+)</t>
  </si>
  <si>
    <t>Adamant spear(p++)</t>
  </si>
  <si>
    <t>Adamant sq shield</t>
  </si>
  <si>
    <t>Adamant sword</t>
  </si>
  <si>
    <t>Adamant thrownaxe</t>
  </si>
  <si>
    <t>Adamant trimmed set (lg)</t>
  </si>
  <si>
    <t>Adamant trimmed set (sk)</t>
  </si>
  <si>
    <t>Adamant warhammer</t>
  </si>
  <si>
    <t>Adamantite bar</t>
  </si>
  <si>
    <t>Adamantite limbs</t>
  </si>
  <si>
    <t>Adamantite nails</t>
  </si>
  <si>
    <t>Adamantite ore</t>
  </si>
  <si>
    <t>Admiral pie</t>
  </si>
  <si>
    <t>Aether catalyst</t>
  </si>
  <si>
    <t>Aether rune</t>
  </si>
  <si>
    <t>Afro</t>
  </si>
  <si>
    <t>Agility mix(1)</t>
  </si>
  <si>
    <t>Agility mix(2)</t>
  </si>
  <si>
    <t>Agility potion(1)</t>
  </si>
  <si>
    <t>Agility potion(2)</t>
  </si>
  <si>
    <t>Agility potion(3)</t>
  </si>
  <si>
    <t>Agility potion(4)</t>
  </si>
  <si>
    <t>Ahrim's armour set</t>
  </si>
  <si>
    <t>Ahrim's hood</t>
  </si>
  <si>
    <t>Ahrim's hood 0</t>
  </si>
  <si>
    <t>Ahrim's robeskirt</t>
  </si>
  <si>
    <t>Ahrim's robeskirt 0</t>
  </si>
  <si>
    <t>Ahrim's robetop</t>
  </si>
  <si>
    <t>Ahrim's robetop 0</t>
  </si>
  <si>
    <t>Ahrim's staff</t>
  </si>
  <si>
    <t>Ahrim's staff 0</t>
  </si>
  <si>
    <t>Air battlestaff</t>
  </si>
  <si>
    <t>Air orb</t>
  </si>
  <si>
    <t>Air rune</t>
  </si>
  <si>
    <t>Air talisman</t>
  </si>
  <si>
    <t>Air tiara</t>
  </si>
  <si>
    <t>Airtight pot</t>
  </si>
  <si>
    <t>Ale of the gods</t>
  </si>
  <si>
    <t>Ale yeast</t>
  </si>
  <si>
    <t>Amethyst</t>
  </si>
  <si>
    <t>Amethyst arrow</t>
  </si>
  <si>
    <t>Amethyst arrow(p)</t>
  </si>
  <si>
    <t>Amethyst arrow(p+)</t>
  </si>
  <si>
    <t>Amethyst arrow(p++)</t>
  </si>
  <si>
    <t>Amethyst arrowtips</t>
  </si>
  <si>
    <t>Amethyst bolt tips</t>
  </si>
  <si>
    <t>Amethyst broad bolts</t>
  </si>
  <si>
    <t>Amethyst dart</t>
  </si>
  <si>
    <t>Amethyst dart tip</t>
  </si>
  <si>
    <t>Amethyst dart(p)</t>
  </si>
  <si>
    <t>Amethyst dart(p+)</t>
  </si>
  <si>
    <t>Amethyst dart(p++)</t>
  </si>
  <si>
    <t>Amethyst javelin</t>
  </si>
  <si>
    <t>Amethyst javelin tips</t>
  </si>
  <si>
    <t>Amethyst javelin(p)</t>
  </si>
  <si>
    <t>Amethyst javelin(p+)</t>
  </si>
  <si>
    <t>Amethyst javelin(p++)</t>
  </si>
  <si>
    <t>Amulet mould</t>
  </si>
  <si>
    <t>Amulet of accuracy</t>
  </si>
  <si>
    <t>Amulet of avarice</t>
  </si>
  <si>
    <t>Amulet of bounty</t>
  </si>
  <si>
    <t>Amulet of defence</t>
  </si>
  <si>
    <t>Amulet of defence (t)</t>
  </si>
  <si>
    <t>Amulet of eternal glory</t>
  </si>
  <si>
    <t>Amulet of fury</t>
  </si>
  <si>
    <t>Amulet of glory</t>
  </si>
  <si>
    <t>Amulet of glory (t)</t>
  </si>
  <si>
    <t>Amulet of glory (t4)</t>
  </si>
  <si>
    <t>Amulet of glory (t6)</t>
  </si>
  <si>
    <t>Amulet of glory(4)</t>
  </si>
  <si>
    <t>Amulet of glory(6)</t>
  </si>
  <si>
    <t>Amulet of magic</t>
  </si>
  <si>
    <t>Amulet of magic (t)</t>
  </si>
  <si>
    <t>Amulet of power</t>
  </si>
  <si>
    <t>Amulet of power (t)</t>
  </si>
  <si>
    <t>Amulet of rancour</t>
  </si>
  <si>
    <t>Amulet of strength</t>
  </si>
  <si>
    <t>Amulet of the damned (full)</t>
  </si>
  <si>
    <t>Amulet of torture</t>
  </si>
  <si>
    <t>Ancestral hat</t>
  </si>
  <si>
    <t>Ancestral robe bottom</t>
  </si>
  <si>
    <t>Ancestral robe top</t>
  </si>
  <si>
    <t>Ancestral robes set</t>
  </si>
  <si>
    <t>Anchovies</t>
  </si>
  <si>
    <t>Anchovy pizza</t>
  </si>
  <si>
    <t>Ancient blessing</t>
  </si>
  <si>
    <t>Ancient bracers</t>
  </si>
  <si>
    <t>Ancient brew(1)</t>
  </si>
  <si>
    <t>Ancient brew(2)</t>
  </si>
  <si>
    <t>Ancient ceremonial boots</t>
  </si>
  <si>
    <t>Ancient ceremonial gloves</t>
  </si>
  <si>
    <t>Ancient ceremonial legs</t>
  </si>
  <si>
    <t>Ancient ceremonial mask</t>
  </si>
  <si>
    <t>Ancient ceremonial top</t>
  </si>
  <si>
    <t>Ancient chaps</t>
  </si>
  <si>
    <t>Ancient cloak</t>
  </si>
  <si>
    <t>Ancient coif</t>
  </si>
  <si>
    <t>Ancient crozier</t>
  </si>
  <si>
    <t>Ancient crystal</t>
  </si>
  <si>
    <t>Ancient d'hide body</t>
  </si>
  <si>
    <t>Ancient d'hide boots</t>
  </si>
  <si>
    <t>Ancient d'hide shield</t>
  </si>
  <si>
    <t>Ancient dragonhide set</t>
  </si>
  <si>
    <t>Ancient effigy</t>
  </si>
  <si>
    <t>Ancient emblem</t>
  </si>
  <si>
    <t>Ancient full helm</t>
  </si>
  <si>
    <t>Ancient godsword</t>
  </si>
  <si>
    <t>Ancient hilt</t>
  </si>
  <si>
    <t>Ancient kiteshield</t>
  </si>
  <si>
    <t>Ancient mace</t>
  </si>
  <si>
    <t>Ancient medallion</t>
  </si>
  <si>
    <t>Ancient mitre</t>
  </si>
  <si>
    <t>Ancient mix(1)</t>
  </si>
  <si>
    <t>Ancient mix(2)</t>
  </si>
  <si>
    <t>Ancient page 1</t>
  </si>
  <si>
    <t>Ancient page 2</t>
  </si>
  <si>
    <t>Ancient page 3</t>
  </si>
  <si>
    <t>Ancient page 4</t>
  </si>
  <si>
    <t>Ancient platebody</t>
  </si>
  <si>
    <t>Ancient platelegs</t>
  </si>
  <si>
    <t>Ancient plateskirt</t>
  </si>
  <si>
    <t>Ancient relic</t>
  </si>
  <si>
    <t>Ancient robe legs</t>
  </si>
  <si>
    <t>Ancient robe top</t>
  </si>
  <si>
    <t>Ancient rune armour set (lg)</t>
  </si>
  <si>
    <t>Ancient rune armour set (sk)</t>
  </si>
  <si>
    <t>Ancient staff</t>
  </si>
  <si>
    <t>Ancient statuette</t>
  </si>
  <si>
    <t>Ancient stole</t>
  </si>
  <si>
    <t>Ancient totem</t>
  </si>
  <si>
    <t>Ancient wyvern shield</t>
  </si>
  <si>
    <t>Angler's paint</t>
  </si>
  <si>
    <t>Anglerfish</t>
  </si>
  <si>
    <t>Anguish ornament kit</t>
  </si>
  <si>
    <t>Ankou gloves</t>
  </si>
  <si>
    <t>Ankou mask</t>
  </si>
  <si>
    <t>Ankou socks</t>
  </si>
  <si>
    <t>Ankou top</t>
  </si>
  <si>
    <t>Ankou's leggings</t>
  </si>
  <si>
    <t>Annakarl teleport (tablet)</t>
  </si>
  <si>
    <t>Annihilation blueprints</t>
  </si>
  <si>
    <t>Annihilation teleport scroll</t>
  </si>
  <si>
    <t>Annihilation weapon scroll</t>
  </si>
  <si>
    <t>Anti-dragon shield</t>
  </si>
  <si>
    <t>Anti-odour salt</t>
  </si>
  <si>
    <t>Anti-poison supermix(1)</t>
  </si>
  <si>
    <t>Anti-poison supermix(2)</t>
  </si>
  <si>
    <t>Anti-venom(1)</t>
  </si>
  <si>
    <t>Anti-venom(2)</t>
  </si>
  <si>
    <t>Anti-venom(3)</t>
  </si>
  <si>
    <t>Anti-venom+(1)</t>
  </si>
  <si>
    <t>Anti-venom+(2)</t>
  </si>
  <si>
    <t>Antidote+ mix(1)</t>
  </si>
  <si>
    <t>Antidote+ mix(2)</t>
  </si>
  <si>
    <t>Antidote+(1)</t>
  </si>
  <si>
    <t>Antidote+(2)</t>
  </si>
  <si>
    <t>Antidote+(3)</t>
  </si>
  <si>
    <t>Antidote++(1)</t>
  </si>
  <si>
    <t>Antidote++(2)</t>
  </si>
  <si>
    <t>Antifire mix(1)</t>
  </si>
  <si>
    <t>Antifire mix(2)</t>
  </si>
  <si>
    <t>Antifire potion(1)</t>
  </si>
  <si>
    <t>Antifire potion(2)</t>
  </si>
  <si>
    <t>Antipoison mix(1)</t>
  </si>
  <si>
    <t>Antipoison mix(2)</t>
  </si>
  <si>
    <t>Antipoison(1)</t>
  </si>
  <si>
    <t>Antipoison(2)</t>
  </si>
  <si>
    <t>Antipoison(3)</t>
  </si>
  <si>
    <t>Antipoison(4)</t>
  </si>
  <si>
    <t>Antler guard</t>
  </si>
  <si>
    <t>Ape atoll teleport (tablet)</t>
  </si>
  <si>
    <t>Apple mush</t>
  </si>
  <si>
    <t>Apple pie</t>
  </si>
  <si>
    <t>Apple sapling</t>
  </si>
  <si>
    <t>Apple tree seed</t>
  </si>
  <si>
    <t>Apples(5)</t>
  </si>
  <si>
    <t>Apprentice wand</t>
  </si>
  <si>
    <t>Aquanite hopper</t>
  </si>
  <si>
    <t>Aquanite tendon</t>
  </si>
  <si>
    <t>Aranea boots</t>
  </si>
  <si>
    <t>Arcane prayer scroll</t>
  </si>
  <si>
    <t>Arcane sigil</t>
  </si>
  <si>
    <t>Arcane spirit shield</t>
  </si>
  <si>
    <t>Arceuus banner</t>
  </si>
  <si>
    <t>Arceuus hood</t>
  </si>
  <si>
    <t>Arceuus library teleport (tablet)</t>
  </si>
  <si>
    <t>Arceuus scarf</t>
  </si>
  <si>
    <t>Archer helm</t>
  </si>
  <si>
    <t>Archer icon</t>
  </si>
  <si>
    <t>Archers ring</t>
  </si>
  <si>
    <t>Archery ticket</t>
  </si>
  <si>
    <t>Arctic pine logs</t>
  </si>
  <si>
    <t>Arctic pyre logs</t>
  </si>
  <si>
    <t>Ardougne teleport (tablet)</t>
  </si>
  <si>
    <t>Arena book</t>
  </si>
  <si>
    <t>Armadyl bracers</t>
  </si>
  <si>
    <t>Armadyl brew(1)</t>
  </si>
  <si>
    <t>Armadyl brew(2)</t>
  </si>
  <si>
    <t>Armadyl brew(3)</t>
  </si>
  <si>
    <t>Armadyl brew(4)</t>
  </si>
  <si>
    <t>Armadyl chainskirt</t>
  </si>
  <si>
    <t>Armadyl chaps</t>
  </si>
  <si>
    <t>Armadyl chestplate</t>
  </si>
  <si>
    <t>Armadyl cloak</t>
  </si>
  <si>
    <t>Armadyl coif</t>
  </si>
  <si>
    <t>Armadyl crossbow</t>
  </si>
  <si>
    <t>Armadyl crozier</t>
  </si>
  <si>
    <t>Armadyl d'hide body</t>
  </si>
  <si>
    <t>Armadyl d'hide boots</t>
  </si>
  <si>
    <t>Armadyl d'hide shield</t>
  </si>
  <si>
    <t>Armadyl dragonhide set</t>
  </si>
  <si>
    <t>Armadyl full helm</t>
  </si>
  <si>
    <t>Armadyl godsword</t>
  </si>
  <si>
    <t>Armadyl godsword ornament kit</t>
  </si>
  <si>
    <t>Armadyl helmet</t>
  </si>
  <si>
    <t>Armadyl hilt</t>
  </si>
  <si>
    <t>Armadyl kiteshield</t>
  </si>
  <si>
    <t>Armadyl mitre</t>
  </si>
  <si>
    <t>Armadyl page 1</t>
  </si>
  <si>
    <t>Armadyl page 2</t>
  </si>
  <si>
    <t>Armadyl page 3</t>
  </si>
  <si>
    <t>Armadyl page 4</t>
  </si>
  <si>
    <t>Armadyl platebody</t>
  </si>
  <si>
    <t>Armadyl platelegs</t>
  </si>
  <si>
    <t>Armadyl plateskirt</t>
  </si>
  <si>
    <t>Armadyl robe legs</t>
  </si>
  <si>
    <t>Armadyl robe top</t>
  </si>
  <si>
    <t>Armadyl rune armour set (lg)</t>
  </si>
  <si>
    <t>Armadyl rune armour set (sk)</t>
  </si>
  <si>
    <t>Armadyl stole</t>
  </si>
  <si>
    <t>Armadylean plate</t>
  </si>
  <si>
    <t>Armageddon cape fabric</t>
  </si>
  <si>
    <t>Armageddon rug</t>
  </si>
  <si>
    <t>Armageddon teleport scroll</t>
  </si>
  <si>
    <t>Armageddon weapon scroll</t>
  </si>
  <si>
    <t>Arrow shaft</t>
  </si>
  <si>
    <t>Asgarnian ale</t>
  </si>
  <si>
    <t>Asgarnian ale (flatpack)</t>
  </si>
  <si>
    <t>Asgarnian ale(4)</t>
  </si>
  <si>
    <t>Asgarnian ale(m)</t>
  </si>
  <si>
    <t>Asgarnian ale(m4)</t>
  </si>
  <si>
    <t>Asgarnian hops</t>
  </si>
  <si>
    <t>Asgarnian seed</t>
  </si>
  <si>
    <t>Assorted flowers</t>
  </si>
  <si>
    <t>Astral rune</t>
  </si>
  <si>
    <t>Asyn remains</t>
  </si>
  <si>
    <t>Atlatl dart</t>
  </si>
  <si>
    <t>Atlatl dart shaft</t>
  </si>
  <si>
    <t>Atlatl dart tips</t>
  </si>
  <si>
    <t>Attack mix(1)</t>
  </si>
  <si>
    <t>Attack mix(2)</t>
  </si>
  <si>
    <t>Attack potion(1)</t>
  </si>
  <si>
    <t>Attack potion(2)</t>
  </si>
  <si>
    <t>Attack potion(3)</t>
  </si>
  <si>
    <t>Attack potion(4)</t>
  </si>
  <si>
    <t>Avantoe</t>
  </si>
  <si>
    <t>Avantoe seed</t>
  </si>
  <si>
    <t>Avernic defender hilt</t>
  </si>
  <si>
    <t>Avernic treads</t>
  </si>
  <si>
    <t>Awakener's orb</t>
  </si>
  <si>
    <t>Axeman's folly</t>
  </si>
  <si>
    <t>Axeman's folly(4)</t>
  </si>
  <si>
    <t>Axeman's folly(m)</t>
  </si>
  <si>
    <t>Axeman's folly(m4)</t>
  </si>
  <si>
    <t>Baby impling jar</t>
  </si>
  <si>
    <t>Babydragon bones</t>
  </si>
  <si>
    <t>Bag of salt</t>
  </si>
  <si>
    <t>Bagged bluebells</t>
  </si>
  <si>
    <t>Bagged daffodils</t>
  </si>
  <si>
    <t>Bagged dead tree</t>
  </si>
  <si>
    <t>Bagged flower</t>
  </si>
  <si>
    <t>Bagged magic tree</t>
  </si>
  <si>
    <t>Bagged maple tree</t>
  </si>
  <si>
    <t>Bagged marigolds</t>
  </si>
  <si>
    <t>Bagged nice tree</t>
  </si>
  <si>
    <t>Bagged oak tree</t>
  </si>
  <si>
    <t>Bagged plant 1</t>
  </si>
  <si>
    <t>Bagged plant 2</t>
  </si>
  <si>
    <t>Bagged plant 3</t>
  </si>
  <si>
    <t>Bagged roses</t>
  </si>
  <si>
    <t>Bagged sunflower</t>
  </si>
  <si>
    <t>Bagged willow tree</t>
  </si>
  <si>
    <t>Bagged yew tree</t>
  </si>
  <si>
    <t>Baked potato</t>
  </si>
  <si>
    <t>Bale of flax</t>
  </si>
  <si>
    <t>Ball of cotton</t>
  </si>
  <si>
    <t>Ball of wool</t>
  </si>
  <si>
    <t>Ballista limbs</t>
  </si>
  <si>
    <t>Ballista spring</t>
  </si>
  <si>
    <t>Banana</t>
  </si>
  <si>
    <t>Banana sapling</t>
  </si>
  <si>
    <t>Banana stew</t>
  </si>
  <si>
    <t>Banana tree seed</t>
  </si>
  <si>
    <t>Bananas(5)</t>
  </si>
  <si>
    <t>Bandana eyepatch (blue)</t>
  </si>
  <si>
    <t>Bandana eyepatch (brown)</t>
  </si>
  <si>
    <t>Bandana eyepatch (red)</t>
  </si>
  <si>
    <t>Bandana eyepatch (white)</t>
  </si>
  <si>
    <t>Bandit's brew</t>
  </si>
  <si>
    <t>Bandos boots</t>
  </si>
  <si>
    <t>Bandos bracers</t>
  </si>
  <si>
    <t>Bandos chaps</t>
  </si>
  <si>
    <t>Bandos chestplate</t>
  </si>
  <si>
    <t>Bandos cloak</t>
  </si>
  <si>
    <t>Bandos coif</t>
  </si>
  <si>
    <t>Bandos crozier</t>
  </si>
  <si>
    <t>Bandos d'hide body</t>
  </si>
  <si>
    <t>Bandos d'hide boots</t>
  </si>
  <si>
    <t>Bandos d'hide shield</t>
  </si>
  <si>
    <t>Bandos dragonhide set</t>
  </si>
  <si>
    <t>Bandos full helm</t>
  </si>
  <si>
    <t>Bandos godsword</t>
  </si>
  <si>
    <t>Bandos godsword ornament kit</t>
  </si>
  <si>
    <t>Bandos hilt</t>
  </si>
  <si>
    <t>Bandos kiteshield</t>
  </si>
  <si>
    <t>Bandos mitre</t>
  </si>
  <si>
    <t>Bandos page 1</t>
  </si>
  <si>
    <t>Bandos page 2</t>
  </si>
  <si>
    <t>Bandos page 3</t>
  </si>
  <si>
    <t>Bandos page 4</t>
  </si>
  <si>
    <t>Bandos platebody</t>
  </si>
  <si>
    <t>Bandos platelegs</t>
  </si>
  <si>
    <t>Bandos plateskirt</t>
  </si>
  <si>
    <t>Bandos robe legs</t>
  </si>
  <si>
    <t>Bandos robe top</t>
  </si>
  <si>
    <t>Bandos rune armour set (lg)</t>
  </si>
  <si>
    <t>Bandos rune armour set (sk)</t>
  </si>
  <si>
    <t>Bandos stole</t>
  </si>
  <si>
    <t>Bandos tassets</t>
  </si>
  <si>
    <t>Bandosian components</t>
  </si>
  <si>
    <t>Barb bolttips</t>
  </si>
  <si>
    <t>Barb-tail harpoon</t>
  </si>
  <si>
    <t>Barbarian teleport (tablet)</t>
  </si>
  <si>
    <t>Barbed bolts</t>
  </si>
  <si>
    <t>Bark</t>
  </si>
  <si>
    <t>Barley</t>
  </si>
  <si>
    <t>Barley malt</t>
  </si>
  <si>
    <t>Barley seed</t>
  </si>
  <si>
    <t>Barnacle blaster</t>
  </si>
  <si>
    <t>Barracuda paint</t>
  </si>
  <si>
    <t>Barrel</t>
  </si>
  <si>
    <t>Barrel of demonic tallow (full)</t>
  </si>
  <si>
    <t>Barrows teleport (tablet)</t>
  </si>
  <si>
    <t>Basalt</t>
  </si>
  <si>
    <t>Basilisk jaw</t>
  </si>
  <si>
    <t>Basket</t>
  </si>
  <si>
    <t>Bass</t>
  </si>
  <si>
    <t>Bastion potion(1)</t>
  </si>
  <si>
    <t>Bastion potion(2)</t>
  </si>
  <si>
    <t>Bat bones</t>
  </si>
  <si>
    <t>Batta tin</t>
  </si>
  <si>
    <t>Battlefront teleport (tablet)</t>
  </si>
  <si>
    <t>Battlemage potion(1)</t>
  </si>
  <si>
    <t>Battlemage potion(2)</t>
  </si>
  <si>
    <t>Battlestaff</t>
  </si>
  <si>
    <t>Beanie</t>
  </si>
  <si>
    <t>Bear feet</t>
  </si>
  <si>
    <t>Bear fur</t>
  </si>
  <si>
    <t>Beer</t>
  </si>
  <si>
    <t>Beer barrel (flatpack)</t>
  </si>
  <si>
    <t>Beer glass</t>
  </si>
  <si>
    <t>Beer tankard</t>
  </si>
  <si>
    <t>Beginner wand</t>
  </si>
  <si>
    <t>Belladonna seed</t>
  </si>
  <si>
    <t>Bellator ring</t>
  </si>
  <si>
    <t>Belle's folly</t>
  </si>
  <si>
    <t>Belle's folly (tarnished)</t>
  </si>
  <si>
    <t>Berserker helm</t>
  </si>
  <si>
    <t>Berserker icon</t>
  </si>
  <si>
    <t>Berserker necklace</t>
  </si>
  <si>
    <t>Berserker necklace ornament kit</t>
  </si>
  <si>
    <t>Berserker ring</t>
  </si>
  <si>
    <t>Big bones</t>
  </si>
  <si>
    <t>Big fishing net</t>
  </si>
  <si>
    <t>Big pirate hat</t>
  </si>
  <si>
    <t>Binding necklace</t>
  </si>
  <si>
    <t>Bird house</t>
  </si>
  <si>
    <t>Bird nest (empty)</t>
  </si>
  <si>
    <t>Bird snare</t>
  </si>
  <si>
    <t>Black 2h sword</t>
  </si>
  <si>
    <t>Black axe</t>
  </si>
  <si>
    <t>Black battleaxe</t>
  </si>
  <si>
    <t>Black bead</t>
  </si>
  <si>
    <t>Black beret</t>
  </si>
  <si>
    <t>Black boater</t>
  </si>
  <si>
    <t>Black boots</t>
  </si>
  <si>
    <t>Black brutal</t>
  </si>
  <si>
    <t>Black cane</t>
  </si>
  <si>
    <t>Black cape</t>
  </si>
  <si>
    <t>Black cavalier</t>
  </si>
  <si>
    <t>Black chainbody</t>
  </si>
  <si>
    <t>Black chinchompa</t>
  </si>
  <si>
    <t>Black claws</t>
  </si>
  <si>
    <t>Black d'hide body</t>
  </si>
  <si>
    <t>Black d'hide body (g)</t>
  </si>
  <si>
    <t>Black d'hide body (t)</t>
  </si>
  <si>
    <t>Black d'hide chaps</t>
  </si>
  <si>
    <t>Black d'hide chaps (g)</t>
  </si>
  <si>
    <t>Black d'hide chaps (t)</t>
  </si>
  <si>
    <t>Black d'hide shield</t>
  </si>
  <si>
    <t>Black d'hide vambraces</t>
  </si>
  <si>
    <t>Black dagger</t>
  </si>
  <si>
    <t>Black dagger(p)</t>
  </si>
  <si>
    <t>Black dagger(p+)</t>
  </si>
  <si>
    <t>Black dagger(p++)</t>
  </si>
  <si>
    <t>Black dart</t>
  </si>
  <si>
    <t>Black dart(p)</t>
  </si>
  <si>
    <t>Black dart(p+)</t>
  </si>
  <si>
    <t>Black dart(p++)</t>
  </si>
  <si>
    <t>Black demon mask</t>
  </si>
  <si>
    <t>Black desert robe</t>
  </si>
  <si>
    <t>Black desert shirt</t>
  </si>
  <si>
    <t>Black dragon leather</t>
  </si>
  <si>
    <t>Black dragon mask</t>
  </si>
  <si>
    <t>Black dragonhide</t>
  </si>
  <si>
    <t>Black dragonhide set</t>
  </si>
  <si>
    <t>Black elegant legs</t>
  </si>
  <si>
    <t>Black elegant shirt</t>
  </si>
  <si>
    <t>Black felling axe</t>
  </si>
  <si>
    <t>Black flowers</t>
  </si>
  <si>
    <t>Black full helm</t>
  </si>
  <si>
    <t>Black full helm (g)</t>
  </si>
  <si>
    <t>Black full helm (t)</t>
  </si>
  <si>
    <t>Black gold-trimmed set (lg)</t>
  </si>
  <si>
    <t>Black gold-trimmed set (sk)</t>
  </si>
  <si>
    <t>Black halberd</t>
  </si>
  <si>
    <t>Black headband</t>
  </si>
  <si>
    <t>Black helm (h1)</t>
  </si>
  <si>
    <t>Black helm (h2)</t>
  </si>
  <si>
    <t>Black helm (h3)</t>
  </si>
  <si>
    <t>Black helm (h4)</t>
  </si>
  <si>
    <t>Black helm (h5)</t>
  </si>
  <si>
    <t>Black kiteshield</t>
  </si>
  <si>
    <t>Black kiteshield (g)</t>
  </si>
  <si>
    <t>Black kiteshield (t)</t>
  </si>
  <si>
    <t>Black knife</t>
  </si>
  <si>
    <t>Black knife(p)</t>
  </si>
  <si>
    <t>Black knife(p+)</t>
  </si>
  <si>
    <t>Black knife(p++)</t>
  </si>
  <si>
    <t>Black leprechaun hat</t>
  </si>
  <si>
    <t>Black locks</t>
  </si>
  <si>
    <t>Black longsword</t>
  </si>
  <si>
    <t>Black mace</t>
  </si>
  <si>
    <t>Black mask</t>
  </si>
  <si>
    <t>Black mask (10)</t>
  </si>
  <si>
    <t>Black med helm</t>
  </si>
  <si>
    <t>Black nails</t>
  </si>
  <si>
    <t>Black pickaxe</t>
  </si>
  <si>
    <t>Black platebody</t>
  </si>
  <si>
    <t>Black platebody (g)</t>
  </si>
  <si>
    <t>Black platebody (h1)</t>
  </si>
  <si>
    <t>Black platebody (h2)</t>
  </si>
  <si>
    <t>Black platebody (h3)</t>
  </si>
  <si>
    <t>Black platebody (h4)</t>
  </si>
  <si>
    <t>Black platebody (h5)</t>
  </si>
  <si>
    <t>Black platebody (t)</t>
  </si>
  <si>
    <t>Black platelegs</t>
  </si>
  <si>
    <t>Black platelegs (g)</t>
  </si>
  <si>
    <t>Black platelegs (t)</t>
  </si>
  <si>
    <t>Black plateskirt</t>
  </si>
  <si>
    <t>Black plateskirt (g)</t>
  </si>
  <si>
    <t>Black plateskirt (t)</t>
  </si>
  <si>
    <t>Black robe</t>
  </si>
  <si>
    <t>Black salamander</t>
  </si>
  <si>
    <t>Black scimitar</t>
  </si>
  <si>
    <t>Black set (lg)</t>
  </si>
  <si>
    <t>Black set (sk)</t>
  </si>
  <si>
    <t>Black shield (h1)</t>
  </si>
  <si>
    <t>Black shield (h2)</t>
  </si>
  <si>
    <t>Black shield (h3)</t>
  </si>
  <si>
    <t>Black shield (h4)</t>
  </si>
  <si>
    <t>Black shield (h5)</t>
  </si>
  <si>
    <t>Black skirt</t>
  </si>
  <si>
    <t>Black skirt (g)</t>
  </si>
  <si>
    <t>Black skirt (t)</t>
  </si>
  <si>
    <t>Black spear</t>
  </si>
  <si>
    <t>Black spear(p)</t>
  </si>
  <si>
    <t>Black spear(p+)</t>
  </si>
  <si>
    <t>Black spear(p++)</t>
  </si>
  <si>
    <t>Black spiky vambraces</t>
  </si>
  <si>
    <t>Black sq shield</t>
  </si>
  <si>
    <t>Black sword</t>
  </si>
  <si>
    <t>Black tourmaline core</t>
  </si>
  <si>
    <t>Black toy horsey</t>
  </si>
  <si>
    <t>Black trimmed set (lg)</t>
  </si>
  <si>
    <t>Black trimmed set (sk)</t>
  </si>
  <si>
    <t>Black unicorn mask</t>
  </si>
  <si>
    <t>Black warhammer</t>
  </si>
  <si>
    <t>Black warlock (item)</t>
  </si>
  <si>
    <t>Black warlock mix (1)</t>
  </si>
  <si>
    <t>Black warlock mix (2)</t>
  </si>
  <si>
    <t>Black wizard hat (g)</t>
  </si>
  <si>
    <t>Black wizard hat (t)</t>
  </si>
  <si>
    <t>Black wizard robe (g)</t>
  </si>
  <si>
    <t>Black wizard robe (t)</t>
  </si>
  <si>
    <t>Blackbird red</t>
  </si>
  <si>
    <t>Blacksmith's helm</t>
  </si>
  <si>
    <t>Blade of saeldor (inactive)</t>
  </si>
  <si>
    <t>Blamish bark shell</t>
  </si>
  <si>
    <t>Blamish blue shell (pointed)</t>
  </si>
  <si>
    <t>Blamish blue shell (round)</t>
  </si>
  <si>
    <t>Blamish myre shell (pointed)</t>
  </si>
  <si>
    <t>Blamish myre shell (round)</t>
  </si>
  <si>
    <t>Blamish ochre shell (pointed)</t>
  </si>
  <si>
    <t>Blamish ochre shell (round)</t>
  </si>
  <si>
    <t>Blamish red shell (pointed)</t>
  </si>
  <si>
    <t>Blamish red shell (round)</t>
  </si>
  <si>
    <t>Blessed spirit shield</t>
  </si>
  <si>
    <t>Blighted ancient ice sack</t>
  </si>
  <si>
    <t>Blighted anglerfish</t>
  </si>
  <si>
    <t>Blighted bind sack</t>
  </si>
  <si>
    <t>Blighted entangle sack</t>
  </si>
  <si>
    <t>Blighted karambwan</t>
  </si>
  <si>
    <t>Blighted manta ray</t>
  </si>
  <si>
    <t>Blighted overload (1)</t>
  </si>
  <si>
    <t>Blighted overload (2)</t>
  </si>
  <si>
    <t>Blighted overload (3)</t>
  </si>
  <si>
    <t>Blighted overload (4)</t>
  </si>
  <si>
    <t>Blighted snare sack</t>
  </si>
  <si>
    <t>Blighted super restore(4)</t>
  </si>
  <si>
    <t>Blighted teleport spell sack</t>
  </si>
  <si>
    <t>Blighted vengeance sack</t>
  </si>
  <si>
    <t>Blood essence</t>
  </si>
  <si>
    <t>Blood moon armour set</t>
  </si>
  <si>
    <t>Blood moon chestplate</t>
  </si>
  <si>
    <t>Blood moon chestplate (broken)</t>
  </si>
  <si>
    <t>Blood moon helm</t>
  </si>
  <si>
    <t>Blood moon helm (broken)</t>
  </si>
  <si>
    <t>Blood moon tassets</t>
  </si>
  <si>
    <t>Blood moon tassets (broken)</t>
  </si>
  <si>
    <t>Blood pint</t>
  </si>
  <si>
    <t>Blood rune</t>
  </si>
  <si>
    <t>Blood shard</t>
  </si>
  <si>
    <t>Blood talisman</t>
  </si>
  <si>
    <t>Blood tiara</t>
  </si>
  <si>
    <t>Blood'n'tar snelm</t>
  </si>
  <si>
    <t>Bloodbark armour set</t>
  </si>
  <si>
    <t>Bloodbark body</t>
  </si>
  <si>
    <t>Bloodbark boots</t>
  </si>
  <si>
    <t>Bloodbark gauntlets</t>
  </si>
  <si>
    <t>Bloodbark helm</t>
  </si>
  <si>
    <t>Bloodbark legs</t>
  </si>
  <si>
    <t>Bloody bracer</t>
  </si>
  <si>
    <t>Blue beret</t>
  </si>
  <si>
    <t>Blue boater</t>
  </si>
  <si>
    <t>Blue boots</t>
  </si>
  <si>
    <t>Blue cape</t>
  </si>
  <si>
    <t>Blue crab</t>
  </si>
  <si>
    <t>Blue crab meat</t>
  </si>
  <si>
    <t>Blue d'hide body</t>
  </si>
  <si>
    <t>Blue d'hide body (g)</t>
  </si>
  <si>
    <t>Blue d'hide body (t)</t>
  </si>
  <si>
    <t>Blue d'hide chaps</t>
  </si>
  <si>
    <t>Blue d'hide chaps (g)</t>
  </si>
  <si>
    <t>Blue d'hide chaps (t)</t>
  </si>
  <si>
    <t>Blue d'hide shield</t>
  </si>
  <si>
    <t>Blue d'hide vambraces</t>
  </si>
  <si>
    <t>Blue dark bow paint</t>
  </si>
  <si>
    <t>Blue dragon leather</t>
  </si>
  <si>
    <t>Blue dragon mask</t>
  </si>
  <si>
    <t>Blue dragon scale</t>
  </si>
  <si>
    <t>Blue dragonhide</t>
  </si>
  <si>
    <t>Blue dragonhide set</t>
  </si>
  <si>
    <t>Blue dye</t>
  </si>
  <si>
    <t>Blue elegant blouse</t>
  </si>
  <si>
    <t>Blue elegant legs</t>
  </si>
  <si>
    <t>Blue elegant shirt</t>
  </si>
  <si>
    <t>Blue elegant skirt</t>
  </si>
  <si>
    <t>Blue feather</t>
  </si>
  <si>
    <t>Blue firelighter</t>
  </si>
  <si>
    <t>Blue flowers</t>
  </si>
  <si>
    <t>Blue halloween mask</t>
  </si>
  <si>
    <t>Blue hat</t>
  </si>
  <si>
    <t>Blue headband</t>
  </si>
  <si>
    <t>Blue moon armour set</t>
  </si>
  <si>
    <t>Blue moon chestplate</t>
  </si>
  <si>
    <t>Blue moon chestplate (broken)</t>
  </si>
  <si>
    <t>Blue moon helm</t>
  </si>
  <si>
    <t>Blue moon helm (broken)</t>
  </si>
  <si>
    <t>Blue moon spear</t>
  </si>
  <si>
    <t>Blue moon tassets</t>
  </si>
  <si>
    <t>Blue moon tassets (broken)</t>
  </si>
  <si>
    <t>Blue partyhat</t>
  </si>
  <si>
    <t>Blue robe bottoms</t>
  </si>
  <si>
    <t>Blue robe top</t>
  </si>
  <si>
    <t>Blue skirt</t>
  </si>
  <si>
    <t>Blue skirt (g)</t>
  </si>
  <si>
    <t>Blue skirt (t)</t>
  </si>
  <si>
    <t>Blue spiky vambraces</t>
  </si>
  <si>
    <t>Blue wizard hat</t>
  </si>
  <si>
    <t>Blue wizard hat (g)</t>
  </si>
  <si>
    <t>Blue wizard hat (t)</t>
  </si>
  <si>
    <t>Blue wizard robe</t>
  </si>
  <si>
    <t>Blue wizard robe (g)</t>
  </si>
  <si>
    <t>Blue wizard robe (t)</t>
  </si>
  <si>
    <t>Bluefin</t>
  </si>
  <si>
    <t>Bluegill</t>
  </si>
  <si>
    <t>Blurberry special</t>
  </si>
  <si>
    <t>Boat bottle (empty)</t>
  </si>
  <si>
    <t>Bob's black shirt</t>
  </si>
  <si>
    <t>Bob's blue shirt</t>
  </si>
  <si>
    <t>Bob's green shirt</t>
  </si>
  <si>
    <t>Bob's purple shirt</t>
  </si>
  <si>
    <t>Bob's red shirt</t>
  </si>
  <si>
    <t>Body rune</t>
  </si>
  <si>
    <t>Body talisman</t>
  </si>
  <si>
    <t>Body tiara</t>
  </si>
  <si>
    <t>Bolt mould</t>
  </si>
  <si>
    <t>Bolt of canvas</t>
  </si>
  <si>
    <t>Bolt of cloth</t>
  </si>
  <si>
    <t>Bolt of cotton</t>
  </si>
  <si>
    <t>Bolt of linen</t>
  </si>
  <si>
    <t>Bolt rack</t>
  </si>
  <si>
    <t>Bone bolts</t>
  </si>
  <si>
    <t>Bone club</t>
  </si>
  <si>
    <t>Bone dagger</t>
  </si>
  <si>
    <t>Bone dagger (p)</t>
  </si>
  <si>
    <t>Bone dagger (p+)</t>
  </si>
  <si>
    <t>Bone dagger (p++)</t>
  </si>
  <si>
    <t>Bone fragments</t>
  </si>
  <si>
    <t>Bone spear</t>
  </si>
  <si>
    <t>Bones</t>
  </si>
  <si>
    <t>Bones to bananas (tablet)</t>
  </si>
  <si>
    <t>Bones to peaches (tablet)</t>
  </si>
  <si>
    <t>Book of balance page set</t>
  </si>
  <si>
    <t>Book of darkness page set</t>
  </si>
  <si>
    <t>Book of law page set</t>
  </si>
  <si>
    <t>Book of war page set</t>
  </si>
  <si>
    <t>Bookcase (flatpack)</t>
  </si>
  <si>
    <t>Boots of brimstone</t>
  </si>
  <si>
    <t>Boots of darkness</t>
  </si>
  <si>
    <t>Boots of stone</t>
  </si>
  <si>
    <t>Botanical pie</t>
  </si>
  <si>
    <t>Bottle of wine</t>
  </si>
  <si>
    <t>Bottled dragonbreath</t>
  </si>
  <si>
    <t>Bottled dragonbreath (unpowered)</t>
  </si>
  <si>
    <t>Bottled storm</t>
  </si>
  <si>
    <t>Bottomless compost bucket</t>
  </si>
  <si>
    <t>Bounty supply crate</t>
  </si>
  <si>
    <t>Bounty supply crate (anglerfish)</t>
  </si>
  <si>
    <t>Bounty supply crate (manta ray)</t>
  </si>
  <si>
    <t>Bow of faerdhinen (inactive)</t>
  </si>
  <si>
    <t>Bow string</t>
  </si>
  <si>
    <t>Bowl</t>
  </si>
  <si>
    <t>Bowl of hot water</t>
  </si>
  <si>
    <t>Bowl of water</t>
  </si>
  <si>
    <t>Bowl wig</t>
  </si>
  <si>
    <t>Box trap</t>
  </si>
  <si>
    <t>Bracelet mould</t>
  </si>
  <si>
    <t>Bracelet of clay</t>
  </si>
  <si>
    <t>Bracelet of ethereum (uncharged)</t>
  </si>
  <si>
    <t>Bracelet of slaughter</t>
  </si>
  <si>
    <t>Brandy</t>
  </si>
  <si>
    <t>Brass key</t>
  </si>
  <si>
    <t>Brass necklace</t>
  </si>
  <si>
    <t>Bread</t>
  </si>
  <si>
    <t>Bread dough</t>
  </si>
  <si>
    <t>Briefcase</t>
  </si>
  <si>
    <t>Brimstone ring</t>
  </si>
  <si>
    <t>Brine sabre</t>
  </si>
  <si>
    <t>Broad arrowheads</t>
  </si>
  <si>
    <t>Broad bolts</t>
  </si>
  <si>
    <t>Broken antler</t>
  </si>
  <si>
    <t>Broken bark snelm</t>
  </si>
  <si>
    <t>Broken dragon hasta</t>
  </si>
  <si>
    <t>Broken dragon hook</t>
  </si>
  <si>
    <t>Broken zombie axe</t>
  </si>
  <si>
    <t>Broken zombie helmet</t>
  </si>
  <si>
    <t>Bronze 2h sword</t>
  </si>
  <si>
    <t>Bronze arrow</t>
  </si>
  <si>
    <t>Bronze arrow(p)</t>
  </si>
  <si>
    <t>Bronze arrow(p+)</t>
  </si>
  <si>
    <t>Bronze arrow(p++)</t>
  </si>
  <si>
    <t>Bronze arrowtips</t>
  </si>
  <si>
    <t>Bronze axe</t>
  </si>
  <si>
    <t>Bronze bar</t>
  </si>
  <si>
    <t>Bronze battleaxe</t>
  </si>
  <si>
    <t>Bronze bolts</t>
  </si>
  <si>
    <t>Bronze bolts (p)</t>
  </si>
  <si>
    <t>Bronze bolts (p+)</t>
  </si>
  <si>
    <t>Bronze bolts (p++)</t>
  </si>
  <si>
    <t>Bronze bolts (unf)</t>
  </si>
  <si>
    <t>Bronze boots</t>
  </si>
  <si>
    <t>Bronze brutal</t>
  </si>
  <si>
    <t>Bronze cannonball</t>
  </si>
  <si>
    <t>Bronze chainbody</t>
  </si>
  <si>
    <t>Bronze claws</t>
  </si>
  <si>
    <t>Bronze crossbow</t>
  </si>
  <si>
    <t>Bronze crossbow (u)</t>
  </si>
  <si>
    <t>Bronze dagger</t>
  </si>
  <si>
    <t>Bronze dagger(p)</t>
  </si>
  <si>
    <t>Bronze dagger(p+)</t>
  </si>
  <si>
    <t>Bronze dagger(p++)</t>
  </si>
  <si>
    <t>Bronze dart</t>
  </si>
  <si>
    <t>Bronze dart tip</t>
  </si>
  <si>
    <t>Bronze dart(p)</t>
  </si>
  <si>
    <t>Bronze dart(p+)</t>
  </si>
  <si>
    <t>Bronze dart(p++)</t>
  </si>
  <si>
    <t>Bronze dragon mask</t>
  </si>
  <si>
    <t>Bronze felling axe</t>
  </si>
  <si>
    <t>Bronze full helm</t>
  </si>
  <si>
    <t>Bronze full helm (g)</t>
  </si>
  <si>
    <t>Bronze full helm (t)</t>
  </si>
  <si>
    <t>Bronze gold-trimmed set (lg)</t>
  </si>
  <si>
    <t>Bronze gold-trimmed set (sk)</t>
  </si>
  <si>
    <t>Bronze halberd</t>
  </si>
  <si>
    <t>Bronze hasta</t>
  </si>
  <si>
    <t>Bronze hasta(p)</t>
  </si>
  <si>
    <t>Bronze hasta(p+)</t>
  </si>
  <si>
    <t>Bronze hasta(p++)</t>
  </si>
  <si>
    <t>Bronze javelin</t>
  </si>
  <si>
    <t>Bronze javelin tips</t>
  </si>
  <si>
    <t>Bronze javelin(p)</t>
  </si>
  <si>
    <t>Bronze javelin(p+)</t>
  </si>
  <si>
    <t>Bronze javelin(p++)</t>
  </si>
  <si>
    <t>Bronze keel parts</t>
  </si>
  <si>
    <t>Bronze kiteshield</t>
  </si>
  <si>
    <t>Bronze kiteshield (g)</t>
  </si>
  <si>
    <t>Bronze kiteshield (t)</t>
  </si>
  <si>
    <t>Bronze knife</t>
  </si>
  <si>
    <t>Bronze knife(p)</t>
  </si>
  <si>
    <t>Bronze knife(p+)</t>
  </si>
  <si>
    <t>Bronze knife(p++)</t>
  </si>
  <si>
    <t>Bronze limbs</t>
  </si>
  <si>
    <t>Bronze locks</t>
  </si>
  <si>
    <t>Bronze longsword</t>
  </si>
  <si>
    <t>Bronze mace</t>
  </si>
  <si>
    <t>Bronze med helm</t>
  </si>
  <si>
    <t>Bronze nails</t>
  </si>
  <si>
    <t>Bronze pickaxe</t>
  </si>
  <si>
    <t>Bronze platebody</t>
  </si>
  <si>
    <t>Bronze platebody (g)</t>
  </si>
  <si>
    <t>Bronze platebody (t)</t>
  </si>
  <si>
    <t>Bronze platelegs</t>
  </si>
  <si>
    <t>Bronze platelegs (g)</t>
  </si>
  <si>
    <t>Bronze platelegs (t)</t>
  </si>
  <si>
    <t>Bronze plateskirt</t>
  </si>
  <si>
    <t>Bronze plateskirt (g)</t>
  </si>
  <si>
    <t>Bronze plateskirt (t)</t>
  </si>
  <si>
    <t>Bronze scimitar</t>
  </si>
  <si>
    <t>Bronze set (lg)</t>
  </si>
  <si>
    <t>Bronze set (sk)</t>
  </si>
  <si>
    <t>Bronze spear</t>
  </si>
  <si>
    <t>Bronze spear(p)</t>
  </si>
  <si>
    <t>Bronze spear(p+)</t>
  </si>
  <si>
    <t>Bronze spear(p++)</t>
  </si>
  <si>
    <t>Bronze sq shield</t>
  </si>
  <si>
    <t>Bronze sword</t>
  </si>
  <si>
    <t>Bronze thrownaxe</t>
  </si>
  <si>
    <t>Bronze trimmed set (lg)</t>
  </si>
  <si>
    <t>Bronze trimmed set (sk)</t>
  </si>
  <si>
    <t>Bronze warhammer</t>
  </si>
  <si>
    <t>Bronze wire</t>
  </si>
  <si>
    <t>Broodoo shield (10) (combat)</t>
  </si>
  <si>
    <t>Broodoo shield (10) (disease)</t>
  </si>
  <si>
    <t>Broodoo shield (10) (poison)</t>
  </si>
  <si>
    <t>Broodoo shield (combat)</t>
  </si>
  <si>
    <t>Broodoo shield (disease)</t>
  </si>
  <si>
    <t>Broodoo shield (poison)</t>
  </si>
  <si>
    <t>Brown apron</t>
  </si>
  <si>
    <t>Brown headband</t>
  </si>
  <si>
    <t>Brown toy horsey</t>
  </si>
  <si>
    <t>Bruise blue snelm</t>
  </si>
  <si>
    <t>Bryophyta's essence</t>
  </si>
  <si>
    <t>Bryophyta's staff (uncharged)</t>
  </si>
  <si>
    <t>Bucket</t>
  </si>
  <si>
    <t>Bucket helm</t>
  </si>
  <si>
    <t>Bucket helm (g)</t>
  </si>
  <si>
    <t>Bucket of milk</t>
  </si>
  <si>
    <t>Bucket of sand</t>
  </si>
  <si>
    <t>Bucket of sap</t>
  </si>
  <si>
    <t>Bucket of water</t>
  </si>
  <si>
    <t>Bucket of wax</t>
  </si>
  <si>
    <t>Bullseye lantern</t>
  </si>
  <si>
    <t>Bullseye lantern (empty)</t>
  </si>
  <si>
    <t>Bullseye lantern (unf)</t>
  </si>
  <si>
    <t>Burning amulet(5)</t>
  </si>
  <si>
    <t>Burning claw</t>
  </si>
  <si>
    <t>Burning claws</t>
  </si>
  <si>
    <t>Burnt bones</t>
  </si>
  <si>
    <t>Burnt page</t>
  </si>
  <si>
    <t>Butterfly jar</t>
  </si>
  <si>
    <t>Butterfly net</t>
  </si>
  <si>
    <t>Cabbage</t>
  </si>
  <si>
    <t>Cabbage round shield</t>
  </si>
  <si>
    <t>Cabbage seed</t>
  </si>
  <si>
    <t>Cabbages(10)</t>
  </si>
  <si>
    <t>Cactus seed</t>
  </si>
  <si>
    <t>Cadantine</t>
  </si>
  <si>
    <t>Cadantine seed</t>
  </si>
  <si>
    <t>Cadava berries</t>
  </si>
  <si>
    <t>Cadavaberry seed</t>
  </si>
  <si>
    <t>Cake</t>
  </si>
  <si>
    <t>Cake tin</t>
  </si>
  <si>
    <t>Calcified moth</t>
  </si>
  <si>
    <t>Calcite</t>
  </si>
  <si>
    <t>Calquat fruit</t>
  </si>
  <si>
    <t>Calquat keg</t>
  </si>
  <si>
    <t>Calquat sapling</t>
  </si>
  <si>
    <t>Calquat tree seed</t>
  </si>
  <si>
    <t>Camelot teleport (tablet)</t>
  </si>
  <si>
    <t>Camphor blowpipe (empty)</t>
  </si>
  <si>
    <t>Camphor crate</t>
  </si>
  <si>
    <t>Camphor hull parts</t>
  </si>
  <si>
    <t>Camphor logs</t>
  </si>
  <si>
    <t>Camphor plank</t>
  </si>
  <si>
    <t>Camphor pyre logs</t>
  </si>
  <si>
    <t>Camphor repair kit</t>
  </si>
  <si>
    <t>Camphor sapling</t>
  </si>
  <si>
    <t>Camphor seed</t>
  </si>
  <si>
    <t>Candle</t>
  </si>
  <si>
    <t>Candle lantern (black)</t>
  </si>
  <si>
    <t>Candle lantern (white)</t>
  </si>
  <si>
    <t>Cannon barrels</t>
  </si>
  <si>
    <t>Cannon base</t>
  </si>
  <si>
    <t>Cannon furnace</t>
  </si>
  <si>
    <t>Cannon stand</t>
  </si>
  <si>
    <t>Cape of skulls</t>
  </si>
  <si>
    <t>Carrallanger teleport (tablet)</t>
  </si>
  <si>
    <t>Carved oak bench (flatpack)</t>
  </si>
  <si>
    <t>Carved oak magic wardrobe (flatpack)</t>
  </si>
  <si>
    <t>Carved oak table (flatpack)</t>
  </si>
  <si>
    <t>Carved teak bench (flatpack)</t>
  </si>
  <si>
    <t>Carved teak magic wardrobe (flatpack)</t>
  </si>
  <si>
    <t>Carved teak table (flatpack)</t>
  </si>
  <si>
    <t>Casket</t>
  </si>
  <si>
    <t>Castle wars bracelet(3)</t>
  </si>
  <si>
    <t>Cat mask</t>
  </si>
  <si>
    <t>Catalytic talisman</t>
  </si>
  <si>
    <t>Catalytic tiara</t>
  </si>
  <si>
    <t>Catherby teleport (tablet)</t>
  </si>
  <si>
    <t>Cavalier mask</t>
  </si>
  <si>
    <t>Cave eel</t>
  </si>
  <si>
    <t>Cave goblin wire</t>
  </si>
  <si>
    <t>Caviar</t>
  </si>
  <si>
    <t>Celastrus bark</t>
  </si>
  <si>
    <t>Celastrus sapling</t>
  </si>
  <si>
    <t>Celastrus seed</t>
  </si>
  <si>
    <t>Cemetery teleport (tablet)</t>
  </si>
  <si>
    <t>Chain</t>
  </si>
  <si>
    <t>Chaos rune</t>
  </si>
  <si>
    <t>Chaos talisman</t>
  </si>
  <si>
    <t>Chaos tiara</t>
  </si>
  <si>
    <t>Charcoal</t>
  </si>
  <si>
    <t>Charge dragonstone jewellery scroll</t>
  </si>
  <si>
    <t>Chasm teleport scroll</t>
  </si>
  <si>
    <t>Cheese</t>
  </si>
  <si>
    <t>Cheese+tom batta</t>
  </si>
  <si>
    <t>Chef's delight</t>
  </si>
  <si>
    <t>Chef's delight (flatpack)</t>
  </si>
  <si>
    <t>Chef's delight(4)</t>
  </si>
  <si>
    <t>Chef's delight(m)</t>
  </si>
  <si>
    <t>Chef's delight(m4)</t>
  </si>
  <si>
    <t>Chef's hat</t>
  </si>
  <si>
    <t>Chichilihui rosé</t>
  </si>
  <si>
    <t>Chilhuac red</t>
  </si>
  <si>
    <t>Chilli con carne</t>
  </si>
  <si>
    <t>Chilli potato</t>
  </si>
  <si>
    <t>Chinchompa</t>
  </si>
  <si>
    <t>Chisel</t>
  </si>
  <si>
    <t>Chitin</t>
  </si>
  <si>
    <t>Choc saturday</t>
  </si>
  <si>
    <t>Choc-ice</t>
  </si>
  <si>
    <t>Chocchip crunchies</t>
  </si>
  <si>
    <t>Chocolate bar</t>
  </si>
  <si>
    <t>Chocolate bomb</t>
  </si>
  <si>
    <t>Chocolate cake</t>
  </si>
  <si>
    <t>Chopped garlic</t>
  </si>
  <si>
    <t>Chopped onion</t>
  </si>
  <si>
    <t>Chopped tomato</t>
  </si>
  <si>
    <t>Chopped tuna</t>
  </si>
  <si>
    <t>Chopped ugthanki</t>
  </si>
  <si>
    <t>Christmas cracker</t>
  </si>
  <si>
    <t>Chromium ingot</t>
  </si>
  <si>
    <t>Chugging barrel (disassembled)</t>
  </si>
  <si>
    <t>Cider</t>
  </si>
  <si>
    <t>Cider barrel (flatpack)</t>
  </si>
  <si>
    <t>Cider(4)</t>
  </si>
  <si>
    <t>Cider(m4)</t>
  </si>
  <si>
    <t>Circular hide</t>
  </si>
  <si>
    <t>Citizen shoes</t>
  </si>
  <si>
    <t>Citizen top</t>
  </si>
  <si>
    <t>Citizen trousers</t>
  </si>
  <si>
    <t>Civitas illa fortis teleport</t>
  </si>
  <si>
    <t>Claws of callisto</t>
  </si>
  <si>
    <t>Clay</t>
  </si>
  <si>
    <t>Cleaning cloth</t>
  </si>
  <si>
    <t>Cleaver</t>
  </si>
  <si>
    <t>Climbing boots</t>
  </si>
  <si>
    <t>Climbing boots (g)</t>
  </si>
  <si>
    <t>Clockwork</t>
  </si>
  <si>
    <t>Clothes pouch</t>
  </si>
  <si>
    <t>Clothes pouch blueprint</t>
  </si>
  <si>
    <t>Clue box</t>
  </si>
  <si>
    <t>Coal</t>
  </si>
  <si>
    <t>Cocktail glass</t>
  </si>
  <si>
    <t>Cocktail guide</t>
  </si>
  <si>
    <t>Cocktail shaker</t>
  </si>
  <si>
    <t>Coconut</t>
  </si>
  <si>
    <t>Cod</t>
  </si>
  <si>
    <t>Coif</t>
  </si>
  <si>
    <t>Colossal wyrm teleport scroll</t>
  </si>
  <si>
    <t>Combat bracelet</t>
  </si>
  <si>
    <t>Combat bracelet(4)</t>
  </si>
  <si>
    <t>Combat bracelet(6)</t>
  </si>
  <si>
    <t>Combat mix(1)</t>
  </si>
  <si>
    <t>Combat mix(2)</t>
  </si>
  <si>
    <t>Combat potion set</t>
  </si>
  <si>
    <t>Combat potion(1)</t>
  </si>
  <si>
    <t>Combat potion(2)</t>
  </si>
  <si>
    <t>Combat potion(3)</t>
  </si>
  <si>
    <t>Combat potion(4)</t>
  </si>
  <si>
    <t>Common kebbit fur</t>
  </si>
  <si>
    <t>Common tench</t>
  </si>
  <si>
    <t>Comp ogre bow</t>
  </si>
  <si>
    <t>Compost</t>
  </si>
  <si>
    <t>Compost potion(1)</t>
  </si>
  <si>
    <t>Compost potion(2)</t>
  </si>
  <si>
    <t>Compost potion(3)</t>
  </si>
  <si>
    <t>Compost potion(4)</t>
  </si>
  <si>
    <t>Condensed gold</t>
  </si>
  <si>
    <t>Confliction gauntlets</t>
  </si>
  <si>
    <t>Contract of bloodied blows</t>
  </si>
  <si>
    <t>Contract of catalyst acquisition</t>
  </si>
  <si>
    <t>Contract of divine severance</t>
  </si>
  <si>
    <t>Contract of familiar acquisition</t>
  </si>
  <si>
    <t>Contract of forfeit breath</t>
  </si>
  <si>
    <t>Contract of glyphic attenuation</t>
  </si>
  <si>
    <t>Contract of harmony acquisition</t>
  </si>
  <si>
    <t>Contract of oathplate acquisition</t>
  </si>
  <si>
    <t>Contract of sensory clouding</t>
  </si>
  <si>
    <t>Contract of shard acquisition</t>
  </si>
  <si>
    <t>Contract of worm acquisition</t>
  </si>
  <si>
    <t>Cooked barb-tailed kebbit</t>
  </si>
  <si>
    <t>Cooked chicken</t>
  </si>
  <si>
    <t>Cooked chompy</t>
  </si>
  <si>
    <t>Cooked chompy (roasted)</t>
  </si>
  <si>
    <t>Cooked dashing kebbit</t>
  </si>
  <si>
    <t>Cooked giant crab meat</t>
  </si>
  <si>
    <t>Cooked graahk</t>
  </si>
  <si>
    <t>Cooked jubbly</t>
  </si>
  <si>
    <t>Cooked karambwan</t>
  </si>
  <si>
    <t>Cooked kyatt</t>
  </si>
  <si>
    <t>Cooked larupia</t>
  </si>
  <si>
    <t>Cooked meat</t>
  </si>
  <si>
    <t>Cooked moonlight antelope</t>
  </si>
  <si>
    <t>Cooked mystery meat</t>
  </si>
  <si>
    <t>Cooked oomlie wrap</t>
  </si>
  <si>
    <t>Cooked pyre fox</t>
  </si>
  <si>
    <t>Cooked rabbit</t>
  </si>
  <si>
    <t>Cooked slimy eel</t>
  </si>
  <si>
    <t>Cooked sunlight antelope</t>
  </si>
  <si>
    <t>Cooked sweetcorn</t>
  </si>
  <si>
    <t>Cooked wild kebbit</t>
  </si>
  <si>
    <t>Cooking apple</t>
  </si>
  <si>
    <t>Copper ore</t>
  </si>
  <si>
    <t>Cornflour</t>
  </si>
  <si>
    <t>Corrupted armadyl godsword</t>
  </si>
  <si>
    <t>Corrupted dark bow</t>
  </si>
  <si>
    <t>Corrupted dragon claws</t>
  </si>
  <si>
    <t>Corrupted scythe of vitur (uncharged)</t>
  </si>
  <si>
    <t>Corrupted tumeken's shadow (uncharged)</t>
  </si>
  <si>
    <t>Corrupted twisted bow</t>
  </si>
  <si>
    <t>Corrupted voidwaker</t>
  </si>
  <si>
    <t>Corrupted volatile nightmare staff</t>
  </si>
  <si>
    <t>Cosmic rune</t>
  </si>
  <si>
    <t>Cosmic talisman</t>
  </si>
  <si>
    <t>Cosmic tiara</t>
  </si>
  <si>
    <t>Cotton boll</t>
  </si>
  <si>
    <t>Cotton seed</t>
  </si>
  <si>
    <t>Cowhide</t>
  </si>
  <si>
    <t>Craw's bow (u)</t>
  </si>
  <si>
    <t>Cream boots</t>
  </si>
  <si>
    <t>Cream hat</t>
  </si>
  <si>
    <t>Cream robe bottoms</t>
  </si>
  <si>
    <t>Cream robe top</t>
  </si>
  <si>
    <t>Crier bell</t>
  </si>
  <si>
    <t>Crier coat</t>
  </si>
  <si>
    <t>Crier hat</t>
  </si>
  <si>
    <t>Crossbow</t>
  </si>
  <si>
    <t>Crossbow string</t>
  </si>
  <si>
    <t>Crude chair (flatpack)</t>
  </si>
  <si>
    <t>Crunchy tray</t>
  </si>
  <si>
    <t>Crushed infernal shale</t>
  </si>
  <si>
    <t>Crystal 2h axe</t>
  </si>
  <si>
    <t>Crystal 2h axe (inactive)</t>
  </si>
  <si>
    <t>Crystal armour seed</t>
  </si>
  <si>
    <t>Crystal ball (flatpack)</t>
  </si>
  <si>
    <t>Crystal grail</t>
  </si>
  <si>
    <t>Crystal key</t>
  </si>
  <si>
    <t>Crystal of power (flatpack)</t>
  </si>
  <si>
    <t>Crystal tool seed</t>
  </si>
  <si>
    <t>Crystal weapon seed</t>
  </si>
  <si>
    <t>Cup of hot water</t>
  </si>
  <si>
    <t>Cup of tea</t>
  </si>
  <si>
    <t>Cup of water</t>
  </si>
  <si>
    <t>Cupronickel bar</t>
  </si>
  <si>
    <t>Cured yak-hide</t>
  </si>
  <si>
    <t>Curry</t>
  </si>
  <si>
    <t>Curry leaf</t>
  </si>
  <si>
    <t>Curry sapling</t>
  </si>
  <si>
    <t>Curry tree seed</t>
  </si>
  <si>
    <t>Cursed amulet of magic</t>
  </si>
  <si>
    <t>Cyclops head</t>
  </si>
  <si>
    <t>Dagannoth bones</t>
  </si>
  <si>
    <t>Dagannoth hide</t>
  </si>
  <si>
    <t>Dagon'hai hat</t>
  </si>
  <si>
    <t>Dagon'hai robe bottom</t>
  </si>
  <si>
    <t>Dagon'hai robe top</t>
  </si>
  <si>
    <t>Dagon'hai robes set</t>
  </si>
  <si>
    <t>Damaged monkey tail</t>
  </si>
  <si>
    <t>Dareeyak teleport (tablet)</t>
  </si>
  <si>
    <t>Dark bow</t>
  </si>
  <si>
    <t>Dark bow tie</t>
  </si>
  <si>
    <t>Dark cavalier</t>
  </si>
  <si>
    <t>Dark crab</t>
  </si>
  <si>
    <t>Dark fishing bait</t>
  </si>
  <si>
    <t>Dark infinity colour kit</t>
  </si>
  <si>
    <t>Dark kebbit fur</t>
  </si>
  <si>
    <t>Dark trousers</t>
  </si>
  <si>
    <t>Dark tuxedo cuffs</t>
  </si>
  <si>
    <t>Dark tuxedo jacket</t>
  </si>
  <si>
    <t>Dark tuxedo shoes</t>
  </si>
  <si>
    <t>Dashing kebbit fur</t>
  </si>
  <si>
    <t>Death rune</t>
  </si>
  <si>
    <t>Death talisman</t>
  </si>
  <si>
    <t>Death tiara</t>
  </si>
  <si>
    <t>Deerstalker</t>
  </si>
  <si>
    <t>Defence mix(1)</t>
  </si>
  <si>
    <t>Defence mix(2)</t>
  </si>
  <si>
    <t>Defence potion(1)</t>
  </si>
  <si>
    <t>Defence potion(2)</t>
  </si>
  <si>
    <t>Defence potion(3)</t>
  </si>
  <si>
    <t>Defence potion(4)</t>
  </si>
  <si>
    <t>Demon feet</t>
  </si>
  <si>
    <t>Demon tear</t>
  </si>
  <si>
    <t>Demonic tallow</t>
  </si>
  <si>
    <t>Desert boots</t>
  </si>
  <si>
    <t>Desert camo legs</t>
  </si>
  <si>
    <t>Desert camo legs (equipped)</t>
  </si>
  <si>
    <t>Desert camo top</t>
  </si>
  <si>
    <t>Desert camo top (equipped)</t>
  </si>
  <si>
    <t>Desert devil fur</t>
  </si>
  <si>
    <t>Desert goat horn</t>
  </si>
  <si>
    <t>Desert legs</t>
  </si>
  <si>
    <t>Desert robe</t>
  </si>
  <si>
    <t>Desert robes</t>
  </si>
  <si>
    <t>Desert shirt</t>
  </si>
  <si>
    <t>Desert top</t>
  </si>
  <si>
    <t>Desert top (overcoat)</t>
  </si>
  <si>
    <t>Devout boots</t>
  </si>
  <si>
    <t>Dexterous prayer scroll</t>
  </si>
  <si>
    <t>Dharok's armour set</t>
  </si>
  <si>
    <t>Dharok's greataxe</t>
  </si>
  <si>
    <t>Dharok's greataxe 0</t>
  </si>
  <si>
    <t>Dharok's helm</t>
  </si>
  <si>
    <t>Dharok's helm 0</t>
  </si>
  <si>
    <t>Dharok's platebody</t>
  </si>
  <si>
    <t>Dharok's platebody 0</t>
  </si>
  <si>
    <t>Dharok's platelegs</t>
  </si>
  <si>
    <t>Dharok's platelegs 0</t>
  </si>
  <si>
    <t>Diabolic worms</t>
  </si>
  <si>
    <t>Diamond</t>
  </si>
  <si>
    <t>Diamond amulet</t>
  </si>
  <si>
    <t>Diamond amulet (u)</t>
  </si>
  <si>
    <t>Diamond bolt tips</t>
  </si>
  <si>
    <t>Diamond bolts</t>
  </si>
  <si>
    <t>Diamond bolts (e)</t>
  </si>
  <si>
    <t>Diamond bracelet</t>
  </si>
  <si>
    <t>Diamond dragon bolts</t>
  </si>
  <si>
    <t>Diamond dragon bolts (e)</t>
  </si>
  <si>
    <t>Diamond necklace</t>
  </si>
  <si>
    <t>Diamond ring</t>
  </si>
  <si>
    <t>Digsite teleport</t>
  </si>
  <si>
    <t>Dinh's bulwark</t>
  </si>
  <si>
    <t>Disk of returning</t>
  </si>
  <si>
    <t>Divine bastion potion(1)</t>
  </si>
  <si>
    <t>Divine bastion potion(2)</t>
  </si>
  <si>
    <t>Divine bastion potion(3)</t>
  </si>
  <si>
    <t>Divine battlemage potion(1)</t>
  </si>
  <si>
    <t>Divine battlemage potion(2)</t>
  </si>
  <si>
    <t>Divine battlemage potion(3)</t>
  </si>
  <si>
    <t>Divine magic potion(1)</t>
  </si>
  <si>
    <t>Divine magic potion(2)</t>
  </si>
  <si>
    <t>Divine magic potion(3)</t>
  </si>
  <si>
    <t>Divine ranging potion(1)</t>
  </si>
  <si>
    <t>Divine ranging potion(2)</t>
  </si>
  <si>
    <t>Divine ranging potion(3)</t>
  </si>
  <si>
    <t>Divine super attack potion(1)</t>
  </si>
  <si>
    <t>Divine super attack potion(2)</t>
  </si>
  <si>
    <t>Divine super attack potion(3)</t>
  </si>
  <si>
    <t>Divine super combat potion(1)</t>
  </si>
  <si>
    <t>Divine super combat potion(2)</t>
  </si>
  <si>
    <t>Divine super combat potion(3)</t>
  </si>
  <si>
    <t>Divine super defence potion(1)</t>
  </si>
  <si>
    <t>Divine super defence potion(2)</t>
  </si>
  <si>
    <t>Divine super defence potion(3)</t>
  </si>
  <si>
    <t>Divine super strength potion(1)</t>
  </si>
  <si>
    <t>Divine super strength potion(2)</t>
  </si>
  <si>
    <t>Divine super strength potion(3)</t>
  </si>
  <si>
    <t>Dodgy necklace</t>
  </si>
  <si>
    <t>Doogle leaves</t>
  </si>
  <si>
    <t>Dorgeshuun crossbow</t>
  </si>
  <si>
    <t>Double eye patch</t>
  </si>
  <si>
    <t>Draconic visage</t>
  </si>
  <si>
    <t>Dragon 2h sword</t>
  </si>
  <si>
    <t>Dragon armour set (lg)</t>
  </si>
  <si>
    <t>Dragon armour set (sk)</t>
  </si>
  <si>
    <t>Dragon arrow</t>
  </si>
  <si>
    <t>Dragon arrow(p)</t>
  </si>
  <si>
    <t>Dragon arrow(p+)</t>
  </si>
  <si>
    <t>Dragon arrow(p++)</t>
  </si>
  <si>
    <t>Dragon arrowtips</t>
  </si>
  <si>
    <t>Dragon axe</t>
  </si>
  <si>
    <t>Dragon battleaxe</t>
  </si>
  <si>
    <t>Dragon bitter</t>
  </si>
  <si>
    <t>Dragon bitter (flatpack)</t>
  </si>
  <si>
    <t>Dragon bitter(4)</t>
  </si>
  <si>
    <t>Dragon bitter(m)</t>
  </si>
  <si>
    <t>Dragon bitter(m4)</t>
  </si>
  <si>
    <t>Dragon bolts</t>
  </si>
  <si>
    <t>Dragon bolts (p)</t>
  </si>
  <si>
    <t>Dragon bolts (p+)</t>
  </si>
  <si>
    <t>Dragon bolts (p++)</t>
  </si>
  <si>
    <t>Dragon bolts (unf)</t>
  </si>
  <si>
    <t>Dragon bones</t>
  </si>
  <si>
    <t>Dragon boots</t>
  </si>
  <si>
    <t>Dragon boots ornament kit</t>
  </si>
  <si>
    <t>Dragon cane</t>
  </si>
  <si>
    <t>Dragon cannon barrel</t>
  </si>
  <si>
    <t>Dragon cannonball</t>
  </si>
  <si>
    <t>Dragon chainbody</t>
  </si>
  <si>
    <t>Dragon chainbody ornament kit</t>
  </si>
  <si>
    <t>Dragon claws</t>
  </si>
  <si>
    <t>Dragon crossbow</t>
  </si>
  <si>
    <t>Dragon crossbow (u)</t>
  </si>
  <si>
    <t>Dragon dagger</t>
  </si>
  <si>
    <t>Dragon dagger(p)</t>
  </si>
  <si>
    <t>Dragon dagger(p+)</t>
  </si>
  <si>
    <t>Dragon dagger(p++)</t>
  </si>
  <si>
    <t>Dragon dart</t>
  </si>
  <si>
    <t>Dragon dart tip</t>
  </si>
  <si>
    <t>Dragon dart(p)</t>
  </si>
  <si>
    <t>Dragon dart(p+)</t>
  </si>
  <si>
    <t>Dragon dart(p++)</t>
  </si>
  <si>
    <t>Dragon defender ornament kit</t>
  </si>
  <si>
    <t>Dragon felling axe</t>
  </si>
  <si>
    <t>Dragon full helm</t>
  </si>
  <si>
    <t>Dragon full helm ornament kit</t>
  </si>
  <si>
    <t>Dragon halberd</t>
  </si>
  <si>
    <t>Dragon harpoon</t>
  </si>
  <si>
    <t>Dragon hasta</t>
  </si>
  <si>
    <t>Dragon hasta(p)</t>
  </si>
  <si>
    <t>Dragon hasta(p+)</t>
  </si>
  <si>
    <t>Dragon hasta(p++)</t>
  </si>
  <si>
    <t>Dragon hunter crossbow</t>
  </si>
  <si>
    <t>Dragon hunter lance</t>
  </si>
  <si>
    <t>Dragon hunter wand</t>
  </si>
  <si>
    <t>Dragon impling jar</t>
  </si>
  <si>
    <t>Dragon javelin</t>
  </si>
  <si>
    <t>Dragon javelin tips</t>
  </si>
  <si>
    <t>Dragon javelin(p)</t>
  </si>
  <si>
    <t>Dragon javelin(p+)</t>
  </si>
  <si>
    <t>Dragon javelin(p++)</t>
  </si>
  <si>
    <t>Dragon keel parts</t>
  </si>
  <si>
    <t>Dragon kiteshield</t>
  </si>
  <si>
    <t>Dragon kiteshield ornament kit</t>
  </si>
  <si>
    <t>Dragon knife</t>
  </si>
  <si>
    <t>Dragon knife(p)</t>
  </si>
  <si>
    <t>Dragon knife(p+)</t>
  </si>
  <si>
    <t>Dragon knife(p++)</t>
  </si>
  <si>
    <t>Dragon legs/skirt ornament kit</t>
  </si>
  <si>
    <t>Dragon limbs</t>
  </si>
  <si>
    <t>Dragon longsword</t>
  </si>
  <si>
    <t>Dragon mace</t>
  </si>
  <si>
    <t>Dragon med helm</t>
  </si>
  <si>
    <t>Dragon metal lump</t>
  </si>
  <si>
    <t>Dragon metal shard</t>
  </si>
  <si>
    <t>Dragon metal sheet</t>
  </si>
  <si>
    <t>Dragon metal slice</t>
  </si>
  <si>
    <t>Dragon nails</t>
  </si>
  <si>
    <t>Dragon necklace</t>
  </si>
  <si>
    <t>Dragon pickaxe</t>
  </si>
  <si>
    <t>Dragon pickaxe upgrade kit</t>
  </si>
  <si>
    <t>Dragon platebody</t>
  </si>
  <si>
    <t>Dragon platebody ornament kit</t>
  </si>
  <si>
    <t>Dragon platelegs</t>
  </si>
  <si>
    <t>Dragon plateskirt</t>
  </si>
  <si>
    <t>Dragon scimitar</t>
  </si>
  <si>
    <t>Dragon scimitar ornament kit</t>
  </si>
  <si>
    <t>Dragon spear</t>
  </si>
  <si>
    <t>Dragon spear(p)</t>
  </si>
  <si>
    <t>Dragon spear(p+)</t>
  </si>
  <si>
    <t>Dragon spear(p++)</t>
  </si>
  <si>
    <t>Dragon sq shield</t>
  </si>
  <si>
    <t>Dragon sq shield ornament kit</t>
  </si>
  <si>
    <t>Dragon sword</t>
  </si>
  <si>
    <t>Dragon thrownaxe</t>
  </si>
  <si>
    <t>Dragon warhammer</t>
  </si>
  <si>
    <t>Dragonbone necklace</t>
  </si>
  <si>
    <t>Dragonfire shield</t>
  </si>
  <si>
    <t>Dragonfire ward</t>
  </si>
  <si>
    <t>Dragonfruit</t>
  </si>
  <si>
    <t>Dragonfruit pie</t>
  </si>
  <si>
    <t>Dragonfruit sapling</t>
  </si>
  <si>
    <t>Dragonfruit tree seed</t>
  </si>
  <si>
    <t>Dragonstone</t>
  </si>
  <si>
    <t>Dragonstone amulet</t>
  </si>
  <si>
    <t>Dragonstone amulet (u)</t>
  </si>
  <si>
    <t>Dragonstone armour set</t>
  </si>
  <si>
    <t>Dragonstone bolt tips</t>
  </si>
  <si>
    <t>Dragonstone bolts</t>
  </si>
  <si>
    <t>Dragonstone bolts (e)</t>
  </si>
  <si>
    <t>Dragonstone boots</t>
  </si>
  <si>
    <t>Dragonstone bracelet</t>
  </si>
  <si>
    <t>Dragonstone dragon bolts</t>
  </si>
  <si>
    <t>Dragonstone dragon bolts (e)</t>
  </si>
  <si>
    <t>Dragonstone full helm</t>
  </si>
  <si>
    <t>Dragonstone gauntlets</t>
  </si>
  <si>
    <t>Dragonstone platebody</t>
  </si>
  <si>
    <t>Dragonstone platelegs</t>
  </si>
  <si>
    <t>Dragonstone ring</t>
  </si>
  <si>
    <t>Drake bones</t>
  </si>
  <si>
    <t>Drake's claw</t>
  </si>
  <si>
    <t>Drake's tooth</t>
  </si>
  <si>
    <t>Draynor manor teleport (tablet)</t>
  </si>
  <si>
    <t>Drift net</t>
  </si>
  <si>
    <t>Druid's robe</t>
  </si>
  <si>
    <t>Druid's robe top</t>
  </si>
  <si>
    <t>Drunk dragon</t>
  </si>
  <si>
    <t>Dual macuahuitl</t>
  </si>
  <si>
    <t>Dual sai</t>
  </si>
  <si>
    <t>Dust</t>
  </si>
  <si>
    <t>Dust battlestaff</t>
  </si>
  <si>
    <t>Dust rune</t>
  </si>
  <si>
    <t>Dwarf cannon set</t>
  </si>
  <si>
    <t>Dwarf weed</t>
  </si>
  <si>
    <t>Dwarf weed seed</t>
  </si>
  <si>
    <t>Dwarven helmet</t>
  </si>
  <si>
    <t>Dwarven stout</t>
  </si>
  <si>
    <t>Dwarven stout(4)</t>
  </si>
  <si>
    <t>Dwarven stout(m)</t>
  </si>
  <si>
    <t>Dwarven stout(m4)</t>
  </si>
  <si>
    <t>Dwellberries</t>
  </si>
  <si>
    <t>Dwellberry seed</t>
  </si>
  <si>
    <t>Dynamite</t>
  </si>
  <si>
    <t>Earmuffs</t>
  </si>
  <si>
    <t>Earth battlestaff</t>
  </si>
  <si>
    <t>Earth impling jar</t>
  </si>
  <si>
    <t>Earth orb</t>
  </si>
  <si>
    <t>Earth rune</t>
  </si>
  <si>
    <t>Earth talisman</t>
  </si>
  <si>
    <t>Earth tiara</t>
  </si>
  <si>
    <t>Earthbound tecpatl</t>
  </si>
  <si>
    <t>Easter egg</t>
  </si>
  <si>
    <t>Echo ahrim's ornament kit</t>
  </si>
  <si>
    <t>Echo crystal</t>
  </si>
  <si>
    <t>Echo home teleport scroll</t>
  </si>
  <si>
    <t>Echo pearl</t>
  </si>
  <si>
    <t>Echo venator bow ornament kit</t>
  </si>
  <si>
    <t>Echo virtus ornament kit</t>
  </si>
  <si>
    <t>Eclectic impling jar</t>
  </si>
  <si>
    <t>Eclipse atlatl</t>
  </si>
  <si>
    <t>Eclipse moon armour set</t>
  </si>
  <si>
    <t>Eclipse moon chestplate</t>
  </si>
  <si>
    <t>Eclipse moon chestplate (broken)</t>
  </si>
  <si>
    <t>Eclipse moon helm</t>
  </si>
  <si>
    <t>Eclipse moon helm (broken)</t>
  </si>
  <si>
    <t>Eclipse moon tassets</t>
  </si>
  <si>
    <t>Eclipse moon tassets (broken)</t>
  </si>
  <si>
    <t>Eclipse red</t>
  </si>
  <si>
    <t>Edible seaweed</t>
  </si>
  <si>
    <t>Efaritay's aid</t>
  </si>
  <si>
    <t>Efh salt</t>
  </si>
  <si>
    <t>Egg</t>
  </si>
  <si>
    <t>Egg and tomato</t>
  </si>
  <si>
    <t>Egg potato</t>
  </si>
  <si>
    <t>Egg whisk</t>
  </si>
  <si>
    <t>Elder chaos hood</t>
  </si>
  <si>
    <t>Elder chaos robe</t>
  </si>
  <si>
    <t>Elder chaos top</t>
  </si>
  <si>
    <t>Elder maul</t>
  </si>
  <si>
    <t>Eldritch orb</t>
  </si>
  <si>
    <t>Elemental helmet</t>
  </si>
  <si>
    <t>Elemental shield</t>
  </si>
  <si>
    <t>Elemental sphere (flatpack)</t>
  </si>
  <si>
    <t>Elemental talisman</t>
  </si>
  <si>
    <t>Elemental tiara</t>
  </si>
  <si>
    <t>Elidinis' ward</t>
  </si>
  <si>
    <t>Elkhorn coral</t>
  </si>
  <si>
    <t>Elkhorn frag</t>
  </si>
  <si>
    <t>Elven boots</t>
  </si>
  <si>
    <t>Elven dawn</t>
  </si>
  <si>
    <t>Elven gloves</t>
  </si>
  <si>
    <t>Elven legwear</t>
  </si>
  <si>
    <t>Elven signet</t>
  </si>
  <si>
    <t>Elven skirt (white)</t>
  </si>
  <si>
    <t>Elven skirt (yellow)</t>
  </si>
  <si>
    <t>Elven top (white vest)</t>
  </si>
  <si>
    <t>Elven top (white)</t>
  </si>
  <si>
    <t>Elven top (yellow vest)</t>
  </si>
  <si>
    <t>Elven top (yellow)</t>
  </si>
  <si>
    <t>Elysian sigil</t>
  </si>
  <si>
    <t>Elysian spirit shield</t>
  </si>
  <si>
    <t>Emerald</t>
  </si>
  <si>
    <t>Emerald amulet</t>
  </si>
  <si>
    <t>Emerald amulet (u)</t>
  </si>
  <si>
    <t>Emerald bolt tips</t>
  </si>
  <si>
    <t>Emerald bolts</t>
  </si>
  <si>
    <t>Emerald bolts (e)</t>
  </si>
  <si>
    <t>Emerald bracelet</t>
  </si>
  <si>
    <t>Emerald dragon bolts</t>
  </si>
  <si>
    <t>Emerald dragon bolts (e)</t>
  </si>
  <si>
    <t>Emerald necklace</t>
  </si>
  <si>
    <t>Emerald ring</t>
  </si>
  <si>
    <t>Empty candle lantern</t>
  </si>
  <si>
    <t>Empty cup</t>
  </si>
  <si>
    <t>Empty fishbowl</t>
  </si>
  <si>
    <t>Empty oil lamp</t>
  </si>
  <si>
    <t>Empty oil lantern</t>
  </si>
  <si>
    <t>Empty plant pot</t>
  </si>
  <si>
    <t>Empty sack</t>
  </si>
  <si>
    <t>Enchant diamond</t>
  </si>
  <si>
    <t>Enchant dragonstone</t>
  </si>
  <si>
    <t>Enchant emerald or jade</t>
  </si>
  <si>
    <t>Enchant onyx</t>
  </si>
  <si>
    <t>Enchant ruby or topaz</t>
  </si>
  <si>
    <t>Enchant sapphire or opal</t>
  </si>
  <si>
    <t>Enchanted hat</t>
  </si>
  <si>
    <t>Enchanted robe</t>
  </si>
  <si>
    <t>Enchanted top</t>
  </si>
  <si>
    <t>Energy mix(1)</t>
  </si>
  <si>
    <t>Energy mix(2)</t>
  </si>
  <si>
    <t>Energy potion(1)</t>
  </si>
  <si>
    <t>Energy potion(2)</t>
  </si>
  <si>
    <t>Energy potion(3)</t>
  </si>
  <si>
    <t>Energy potion(4)</t>
  </si>
  <si>
    <t>Enhanced crystal teleport seed</t>
  </si>
  <si>
    <t>Enhanced crystal weapon seed</t>
  </si>
  <si>
    <t>Enhanced quetzal whistle blueprint</t>
  </si>
  <si>
    <t>Ensouled abyssal head</t>
  </si>
  <si>
    <t>Ensouled aviansie head</t>
  </si>
  <si>
    <t>Ensouled bear head</t>
  </si>
  <si>
    <t>Ensouled bloodveld head</t>
  </si>
  <si>
    <t>Ensouled chaos druid head</t>
  </si>
  <si>
    <t>Ensouled dagannoth head</t>
  </si>
  <si>
    <t>Ensouled demon head</t>
  </si>
  <si>
    <t>Ensouled dog head</t>
  </si>
  <si>
    <t>Ensouled dragon head</t>
  </si>
  <si>
    <t>Ensouled elf head</t>
  </si>
  <si>
    <t>Ensouled giant head</t>
  </si>
  <si>
    <t>Ensouled goblin head</t>
  </si>
  <si>
    <t>Ensouled hellhound head</t>
  </si>
  <si>
    <t>Ensouled horror head</t>
  </si>
  <si>
    <t>Ensouled imp head</t>
  </si>
  <si>
    <t>Ensouled kalphite head</t>
  </si>
  <si>
    <t>Ensouled minotaur head</t>
  </si>
  <si>
    <t>Ensouled monkey head</t>
  </si>
  <si>
    <t>Ensouled ogre head</t>
  </si>
  <si>
    <t>Ensouled scorpion head</t>
  </si>
  <si>
    <t>Ensouled troll head</t>
  </si>
  <si>
    <t>Ensouled tzhaar head</t>
  </si>
  <si>
    <t>Ensouled unicorn head</t>
  </si>
  <si>
    <t>Ent branch</t>
  </si>
  <si>
    <t>Equa leaves</t>
  </si>
  <si>
    <t>Essence impling jar</t>
  </si>
  <si>
    <t>Eternal boots</t>
  </si>
  <si>
    <t>Eternal crystal</t>
  </si>
  <si>
    <t>Eternal gem</t>
  </si>
  <si>
    <t>Evil chicken feet</t>
  </si>
  <si>
    <t>Evil chicken head</t>
  </si>
  <si>
    <t>Evil chicken legs</t>
  </si>
  <si>
    <t>Evil chicken wings</t>
  </si>
  <si>
    <t>Expeditious bracelet</t>
  </si>
  <si>
    <t>Explorer backpack</t>
  </si>
  <si>
    <t>Extended anti-venom+(1)</t>
  </si>
  <si>
    <t>Extended anti-venom+(2)</t>
  </si>
  <si>
    <t>Extended anti-venom+(3)</t>
  </si>
  <si>
    <t>Extended antifire mix(1)</t>
  </si>
  <si>
    <t>Extended antifire mix(2)</t>
  </si>
  <si>
    <t>Extended antifire(1)</t>
  </si>
  <si>
    <t>Extended antifire(2)</t>
  </si>
  <si>
    <t>Extended antifire(3)</t>
  </si>
  <si>
    <t>Extended stamina potion(1)</t>
  </si>
  <si>
    <t>Extended stamina potion(2)</t>
  </si>
  <si>
    <t>Extended stamina potion(3)</t>
  </si>
  <si>
    <t>Extended super antifire mix(1)</t>
  </si>
  <si>
    <t>Extended super antifire mix(2)</t>
  </si>
  <si>
    <t>Extended super antifire(1)</t>
  </si>
  <si>
    <t>Extended super antifire(2)</t>
  </si>
  <si>
    <t>Extended super antifire(3)</t>
  </si>
  <si>
    <t>Extreme energy potion(1)</t>
  </si>
  <si>
    <t>Extreme energy potion(2)</t>
  </si>
  <si>
    <t>Extreme energy potion(3)</t>
  </si>
  <si>
    <t>Eye of ayak (uncharged)</t>
  </si>
  <si>
    <t>Facemask</t>
  </si>
  <si>
    <t>Facility bottle (empty)</t>
  </si>
  <si>
    <t>Fake beard</t>
  </si>
  <si>
    <t>Falador teleport (tablet)</t>
  </si>
  <si>
    <t>Fancy hedge (bagged)</t>
  </si>
  <si>
    <t>Fancy teak dresser (flatpack)</t>
  </si>
  <si>
    <t>Fancy tiara</t>
  </si>
  <si>
    <t>Fangs of venenatis</t>
  </si>
  <si>
    <t>Farseer helm</t>
  </si>
  <si>
    <t>Fat snail</t>
  </si>
  <si>
    <t>Fat snail meat</t>
  </si>
  <si>
    <t>Fayrg bones</t>
  </si>
  <si>
    <t>Feather</t>
  </si>
  <si>
    <t>Fedora</t>
  </si>
  <si>
    <t>Feldip hills teleport</t>
  </si>
  <si>
    <t>Feldip weasel fur</t>
  </si>
  <si>
    <t>Felling axe handle</t>
  </si>
  <si>
    <t>Fenkenstrain's castle teleport (tablet)</t>
  </si>
  <si>
    <t>Fez</t>
  </si>
  <si>
    <t>Fibula piece</t>
  </si>
  <si>
    <t>Fiendish ashes</t>
  </si>
  <si>
    <t>Filled plant pot</t>
  </si>
  <si>
    <t>Fine cloth</t>
  </si>
  <si>
    <t>Fine fish offcuts</t>
  </si>
  <si>
    <t>Fire battlestaff</t>
  </si>
  <si>
    <t>Fire element staff crown</t>
  </si>
  <si>
    <t>Fire orb</t>
  </si>
  <si>
    <t>Fire rune</t>
  </si>
  <si>
    <t>Fire talisman</t>
  </si>
  <si>
    <t>Fire tiara</t>
  </si>
  <si>
    <t>Fish chunks</t>
  </si>
  <si>
    <t>Fish crate (bluefin)</t>
  </si>
  <si>
    <t>Fish crate (empty)</t>
  </si>
  <si>
    <t>Fish crate (giant krill)</t>
  </si>
  <si>
    <t>Fish crate (haddock)</t>
  </si>
  <si>
    <t>Fish crate (halibut)</t>
  </si>
  <si>
    <t>Fish crate (marlin)</t>
  </si>
  <si>
    <t>Fish crate (yellowfin)</t>
  </si>
  <si>
    <t>Fish food</t>
  </si>
  <si>
    <t>Fish offcuts</t>
  </si>
  <si>
    <t>Fish pie</t>
  </si>
  <si>
    <t>Fishing bait</t>
  </si>
  <si>
    <t>Fishing guild teleport (tablet)</t>
  </si>
  <si>
    <t>Fishing mix(1)</t>
  </si>
  <si>
    <t>Fishing mix(2)</t>
  </si>
  <si>
    <t>Fishing potion(1)</t>
  </si>
  <si>
    <t>Fishing potion(2)</t>
  </si>
  <si>
    <t>Fishing potion(3)</t>
  </si>
  <si>
    <t>Fishing potion(4)</t>
  </si>
  <si>
    <t>Fishing rod</t>
  </si>
  <si>
    <t>Fiyr remains</t>
  </si>
  <si>
    <t>Flamtaer bracelet</t>
  </si>
  <si>
    <t>Flamtaer hammer</t>
  </si>
  <si>
    <t>Flared trousers</t>
  </si>
  <si>
    <t>Flattened hide</t>
  </si>
  <si>
    <t>Flax</t>
  </si>
  <si>
    <t>Flax seed</t>
  </si>
  <si>
    <t>Flighted ogre arrow</t>
  </si>
  <si>
    <t>Fly fishing rod</t>
  </si>
  <si>
    <t>Forester's ration</t>
  </si>
  <si>
    <t>Forgotten brew(1)</t>
  </si>
  <si>
    <t>Forgotten brew(2)</t>
  </si>
  <si>
    <t>Forgotten brew(3)</t>
  </si>
  <si>
    <t>Four-poster bed (flatpack)</t>
  </si>
  <si>
    <t>Fox fur</t>
  </si>
  <si>
    <t>Fremennik beige shirt</t>
  </si>
  <si>
    <t>Fremennik black cloak</t>
  </si>
  <si>
    <t>Fremennik blue cloak</t>
  </si>
  <si>
    <t>Fremennik blue shirt</t>
  </si>
  <si>
    <t>Fremennik boots</t>
  </si>
  <si>
    <t>Fremennik brown cloak</t>
  </si>
  <si>
    <t>Fremennik brown shirt</t>
  </si>
  <si>
    <t>Fremennik cyan cloak</t>
  </si>
  <si>
    <t>Fremennik gloves</t>
  </si>
  <si>
    <t>Fremennik green cloak</t>
  </si>
  <si>
    <t>Fremennik grey cloak</t>
  </si>
  <si>
    <t>Fremennik grey shirt</t>
  </si>
  <si>
    <t>Fremennik hat</t>
  </si>
  <si>
    <t>Fremennik kilt</t>
  </si>
  <si>
    <t>Fremennik pink cloak</t>
  </si>
  <si>
    <t>Fremennik purple cloak</t>
  </si>
  <si>
    <t>Fremennik red cloak</t>
  </si>
  <si>
    <t>Fremennik red shirt</t>
  </si>
  <si>
    <t>Fremennik robe</t>
  </si>
  <si>
    <t>Fremennik skirt</t>
  </si>
  <si>
    <t>Fremennik teal cloak</t>
  </si>
  <si>
    <t>Fremennik yellow cloak</t>
  </si>
  <si>
    <t>Fried mushrooms</t>
  </si>
  <si>
    <t>Fried onions</t>
  </si>
  <si>
    <t>Frog slippers</t>
  </si>
  <si>
    <t>Frog-leather body</t>
  </si>
  <si>
    <t>Frog-leather boots</t>
  </si>
  <si>
    <t>Frog-leather chaps</t>
  </si>
  <si>
    <t>Frost dragon bones</t>
  </si>
  <si>
    <t>Frozen tear</t>
  </si>
  <si>
    <t>Frozen whip mix</t>
  </si>
  <si>
    <t>Fruit batta</t>
  </si>
  <si>
    <t>Fruit blast</t>
  </si>
  <si>
    <t>Frying pan</t>
  </si>
  <si>
    <t>Fur</t>
  </si>
  <si>
    <t>Fury ornament kit</t>
  </si>
  <si>
    <t>Gadderhammer</t>
  </si>
  <si>
    <t>Games necklace(8)</t>
  </si>
  <si>
    <t>Garden pie</t>
  </si>
  <si>
    <t>Gardening boots</t>
  </si>
  <si>
    <t>Gardening trowel</t>
  </si>
  <si>
    <t>Garlic powder</t>
  </si>
  <si>
    <t>Ghorrock teleport (tablet)</t>
  </si>
  <si>
    <t>Ghrazi rapier</t>
  </si>
  <si>
    <t>Gianne dough</t>
  </si>
  <si>
    <t>Gianne's cook book</t>
  </si>
  <si>
    <t>Giant boot</t>
  </si>
  <si>
    <t>Giant egg sac(full)</t>
  </si>
  <si>
    <t>Giant frog legs</t>
  </si>
  <si>
    <t>Giant krill</t>
  </si>
  <si>
    <t>Giant seaweed</t>
  </si>
  <si>
    <t>Gilded 2h sword</t>
  </si>
  <si>
    <t>Gilded armour set (lg)</t>
  </si>
  <si>
    <t>Gilded armour set (sk)</t>
  </si>
  <si>
    <t>Gilded axe</t>
  </si>
  <si>
    <t>Gilded bench (flatpack)</t>
  </si>
  <si>
    <t>Gilded boots</t>
  </si>
  <si>
    <t>Gilded cape rack (flatpack)</t>
  </si>
  <si>
    <t>Gilded chainbody</t>
  </si>
  <si>
    <t>Gilded clock (flatpack)</t>
  </si>
  <si>
    <t>Gilded coif</t>
  </si>
  <si>
    <t>Gilded d'hide body</t>
  </si>
  <si>
    <t>Gilded d'hide chaps</t>
  </si>
  <si>
    <t>Gilded d'hide vambraces</t>
  </si>
  <si>
    <t>Gilded dragonhide set</t>
  </si>
  <si>
    <t>Gilded dresser (flatpack)</t>
  </si>
  <si>
    <t>Gilded four-poster (flatpack)</t>
  </si>
  <si>
    <t>Gilded full helm</t>
  </si>
  <si>
    <t>Gilded hasta</t>
  </si>
  <si>
    <t>Gilded kiteshield</t>
  </si>
  <si>
    <t>Gilded magic wardrobe (flatpack)</t>
  </si>
  <si>
    <t>Gilded med helm</t>
  </si>
  <si>
    <t>Gilded pickaxe</t>
  </si>
  <si>
    <t>Gilded platebody</t>
  </si>
  <si>
    <t>Gilded platelegs</t>
  </si>
  <si>
    <t>Gilded plateskirt</t>
  </si>
  <si>
    <t>Gilded scimitar</t>
  </si>
  <si>
    <t>Gilded spade</t>
  </si>
  <si>
    <t>Gilded spear</t>
  </si>
  <si>
    <t>Gilded sq shield</t>
  </si>
  <si>
    <t>Gilded wardrobe (flatpack)</t>
  </si>
  <si>
    <t>Gin</t>
  </si>
  <si>
    <t>Glacial temotli</t>
  </si>
  <si>
    <t>Glassblowing pipe</t>
  </si>
  <si>
    <t>Gloves of darkness</t>
  </si>
  <si>
    <t>Gloves of silence</t>
  </si>
  <si>
    <t>Gnome goggles</t>
  </si>
  <si>
    <t>Gnome scarf</t>
  </si>
  <si>
    <t>Gnome spice</t>
  </si>
  <si>
    <t>Gnomeball</t>
  </si>
  <si>
    <t>Gnomebowl mould</t>
  </si>
  <si>
    <t>Gnomish firelighter</t>
  </si>
  <si>
    <t>Goading potion(1)</t>
  </si>
  <si>
    <t>Goading potion(2)</t>
  </si>
  <si>
    <t>Goading potion(3)</t>
  </si>
  <si>
    <t>Goading potion(4)</t>
  </si>
  <si>
    <t>Goblin book</t>
  </si>
  <si>
    <t>Goblin mail</t>
  </si>
  <si>
    <t>Goblin mask</t>
  </si>
  <si>
    <t>Godsword blade</t>
  </si>
  <si>
    <t>Godsword shard 1</t>
  </si>
  <si>
    <t>Godsword shard 2</t>
  </si>
  <si>
    <t>Godsword shard 3</t>
  </si>
  <si>
    <t>Gold amulet</t>
  </si>
  <si>
    <t>Gold amulet (u)</t>
  </si>
  <si>
    <t>Gold bar</t>
  </si>
  <si>
    <t>Gold bracelet</t>
  </si>
  <si>
    <t>Gold elegant blouse</t>
  </si>
  <si>
    <t>Gold elegant legs</t>
  </si>
  <si>
    <t>Gold elegant shirt</t>
  </si>
  <si>
    <t>Gold elegant skirt</t>
  </si>
  <si>
    <t>Gold headband</t>
  </si>
  <si>
    <t>Gold leaf</t>
  </si>
  <si>
    <t>Gold locks</t>
  </si>
  <si>
    <t>Gold necklace</t>
  </si>
  <si>
    <t>Gold ore</t>
  </si>
  <si>
    <t>Gold ring</t>
  </si>
  <si>
    <t>Gold seal</t>
  </si>
  <si>
    <t>Gold tiara</t>
  </si>
  <si>
    <t>Golden apron</t>
  </si>
  <si>
    <t>Golden chef's hat</t>
  </si>
  <si>
    <t>Golden scarab</t>
  </si>
  <si>
    <t>Golden statuette</t>
  </si>
  <si>
    <t>Golovanova fruit top</t>
  </si>
  <si>
    <t>Gourmet impling jar</t>
  </si>
  <si>
    <t>Gout tuber</t>
  </si>
  <si>
    <t>Graahk fur</t>
  </si>
  <si>
    <t>Graahk headdress</t>
  </si>
  <si>
    <t>Graahk legs</t>
  </si>
  <si>
    <t>Graahk top</t>
  </si>
  <si>
    <t>Grain</t>
  </si>
  <si>
    <t>Grand seed pod</t>
  </si>
  <si>
    <t>Granite (2kg)</t>
  </si>
  <si>
    <t>Granite (500g)</t>
  </si>
  <si>
    <t>Granite (5kg)</t>
  </si>
  <si>
    <t>Granite body</t>
  </si>
  <si>
    <t>Granite boots</t>
  </si>
  <si>
    <t>Granite clamp</t>
  </si>
  <si>
    <t>Granite gloves</t>
  </si>
  <si>
    <t>Granite hammer</t>
  </si>
  <si>
    <t>Granite helm</t>
  </si>
  <si>
    <t>Granite legs</t>
  </si>
  <si>
    <t>Granite longsword</t>
  </si>
  <si>
    <t>Granite maul</t>
  </si>
  <si>
    <t>Granite ring</t>
  </si>
  <si>
    <t>Granite shield</t>
  </si>
  <si>
    <t>Grape seed</t>
  </si>
  <si>
    <t>Grapes</t>
  </si>
  <si>
    <t>Greater demon mask</t>
  </si>
  <si>
    <t>Greater siren</t>
  </si>
  <si>
    <t>Green boater</t>
  </si>
  <si>
    <t>Green boots</t>
  </si>
  <si>
    <t>Green cape</t>
  </si>
  <si>
    <t>Green d'hide body</t>
  </si>
  <si>
    <t>Green d'hide body (g)</t>
  </si>
  <si>
    <t>Green d'hide body (t)</t>
  </si>
  <si>
    <t>Green d'hide chaps</t>
  </si>
  <si>
    <t>Green d'hide chaps (g)</t>
  </si>
  <si>
    <t>Green d'hide chaps (t)</t>
  </si>
  <si>
    <t>Green d'hide shield</t>
  </si>
  <si>
    <t>Green d'hide vambraces</t>
  </si>
  <si>
    <t>Green dark bow paint</t>
  </si>
  <si>
    <t>Green dragon leather</t>
  </si>
  <si>
    <t>Green dragon mask</t>
  </si>
  <si>
    <t>Green dragonhide</t>
  </si>
  <si>
    <t>Green dragonhide set</t>
  </si>
  <si>
    <t>Green dye</t>
  </si>
  <si>
    <t>Green elegant blouse</t>
  </si>
  <si>
    <t>Green elegant legs</t>
  </si>
  <si>
    <t>Green elegant shirt</t>
  </si>
  <si>
    <t>Green elegant skirt</t>
  </si>
  <si>
    <t>Green firelighter</t>
  </si>
  <si>
    <t>Green halloween mask</t>
  </si>
  <si>
    <t>Green hat</t>
  </si>
  <si>
    <t>Green headband</t>
  </si>
  <si>
    <t>Green partyhat</t>
  </si>
  <si>
    <t>Green robe bottoms</t>
  </si>
  <si>
    <t>Green robe top</t>
  </si>
  <si>
    <t>Green spiky vambraces</t>
  </si>
  <si>
    <t>Greenman carving</t>
  </si>
  <si>
    <t>Greenman mask</t>
  </si>
  <si>
    <t>Greenman statue</t>
  </si>
  <si>
    <t>Greenman's ale</t>
  </si>
  <si>
    <t>Greenman's ale (flatpack)</t>
  </si>
  <si>
    <t>Greenman's ale(m)</t>
  </si>
  <si>
    <t>Greenmans ale(4)</t>
  </si>
  <si>
    <t>Greenmans ale(m4)</t>
  </si>
  <si>
    <t>Grey boots</t>
  </si>
  <si>
    <t>Grey gloves</t>
  </si>
  <si>
    <t>Grey hat</t>
  </si>
  <si>
    <t>Grey robe bottoms</t>
  </si>
  <si>
    <t>Grey robe top</t>
  </si>
  <si>
    <t>Grey toy horsey</t>
  </si>
  <si>
    <t>Grey wolf fur</t>
  </si>
  <si>
    <t>Grid master altar icon scroll</t>
  </si>
  <si>
    <t>Grid master tabard</t>
  </si>
  <si>
    <t>Grid master tabard (b)</t>
  </si>
  <si>
    <t>Grid master tabard (g)</t>
  </si>
  <si>
    <t>Grid master tabard (p)</t>
  </si>
  <si>
    <t>Grid master torch scroll</t>
  </si>
  <si>
    <t>Grimy avantoe</t>
  </si>
  <si>
    <t>Grimy cadantine</t>
  </si>
  <si>
    <t>Grimy dwarf weed</t>
  </si>
  <si>
    <t>Grimy guam leaf</t>
  </si>
  <si>
    <t>Grimy harralander</t>
  </si>
  <si>
    <t>Grimy huasca</t>
  </si>
  <si>
    <t>Grimy irit leaf</t>
  </si>
  <si>
    <t>Grimy kwuarm</t>
  </si>
  <si>
    <t>Grimy lantadyme</t>
  </si>
  <si>
    <t>Grimy marrentill</t>
  </si>
  <si>
    <t>Grimy ranarr weed</t>
  </si>
  <si>
    <t>Grimy snapdragon</t>
  </si>
  <si>
    <t>Grimy tarromin</t>
  </si>
  <si>
    <t>Grimy toadflax</t>
  </si>
  <si>
    <t>Grimy torstol</t>
  </si>
  <si>
    <t>Grog</t>
  </si>
  <si>
    <t>Ground guam</t>
  </si>
  <si>
    <t>Grubby key</t>
  </si>
  <si>
    <t>Gryphon feather</t>
  </si>
  <si>
    <t>Guam leaf</t>
  </si>
  <si>
    <t>Guam seed</t>
  </si>
  <si>
    <t>Guam tar</t>
  </si>
  <si>
    <t>Guardian boots</t>
  </si>
  <si>
    <t>Guthan's armour set</t>
  </si>
  <si>
    <t>Guthan's chainskirt</t>
  </si>
  <si>
    <t>Guthan's chainskirt 0</t>
  </si>
  <si>
    <t>Guthan's helm</t>
  </si>
  <si>
    <t>Guthan's helm 0</t>
  </si>
  <si>
    <t>Guthan's platebody</t>
  </si>
  <si>
    <t>Guthan's platebody 0</t>
  </si>
  <si>
    <t>Guthan's warspear</t>
  </si>
  <si>
    <t>Guthan's warspear 0</t>
  </si>
  <si>
    <t>Guthix armour set (lg)</t>
  </si>
  <si>
    <t>Guthix armour set (sk)</t>
  </si>
  <si>
    <t>Guthix balance(1)</t>
  </si>
  <si>
    <t>Guthix balance(2)</t>
  </si>
  <si>
    <t>Guthix balance(3)</t>
  </si>
  <si>
    <t>Guthix balance(4)</t>
  </si>
  <si>
    <t>Guthix bracers</t>
  </si>
  <si>
    <t>Guthix chaps</t>
  </si>
  <si>
    <t>Guthix cloak</t>
  </si>
  <si>
    <t>Guthix coif</t>
  </si>
  <si>
    <t>Guthix crozier</t>
  </si>
  <si>
    <t>Guthix d'hide body</t>
  </si>
  <si>
    <t>Guthix d'hide boots</t>
  </si>
  <si>
    <t>Guthix d'hide shield</t>
  </si>
  <si>
    <t>Guthix dragonhide set</t>
  </si>
  <si>
    <t>Guthix full helm</t>
  </si>
  <si>
    <t>Guthix kiteshield</t>
  </si>
  <si>
    <t>Guthix mitre</t>
  </si>
  <si>
    <t>Guthix mjolnir</t>
  </si>
  <si>
    <t>Guthix page 1</t>
  </si>
  <si>
    <t>Guthix page 2</t>
  </si>
  <si>
    <t>Guthix page 3</t>
  </si>
  <si>
    <t>Guthix page 4</t>
  </si>
  <si>
    <t>Guthix platebody</t>
  </si>
  <si>
    <t>Guthix platelegs</t>
  </si>
  <si>
    <t>Guthix plateskirt</t>
  </si>
  <si>
    <t>Guthix rest(1)</t>
  </si>
  <si>
    <t>Guthix rest(2)</t>
  </si>
  <si>
    <t>Guthix rest(3)</t>
  </si>
  <si>
    <t>Guthix rest(4)</t>
  </si>
  <si>
    <t>Guthix robe legs</t>
  </si>
  <si>
    <t>Guthix robe top</t>
  </si>
  <si>
    <t>Guthix stole</t>
  </si>
  <si>
    <t>Guthixian temple teleport</t>
  </si>
  <si>
    <t>Haddock</t>
  </si>
  <si>
    <t>Haemostatic dressing (1)</t>
  </si>
  <si>
    <t>Haemostatic dressing (2)</t>
  </si>
  <si>
    <t>Haemostatic dressing (3)</t>
  </si>
  <si>
    <t>Haemostatic dressing (4)</t>
  </si>
  <si>
    <t>Hair</t>
  </si>
  <si>
    <t>Half full wine jug</t>
  </si>
  <si>
    <t>Half moon spectacles</t>
  </si>
  <si>
    <t>Halibut</t>
  </si>
  <si>
    <t>Halloween mask set</t>
  </si>
  <si>
    <t>Ham boots</t>
  </si>
  <si>
    <t>Ham cloak</t>
  </si>
  <si>
    <t>Ham gloves</t>
  </si>
  <si>
    <t>Ham hood</t>
  </si>
  <si>
    <t>Ham joint</t>
  </si>
  <si>
    <t>Ham logo</t>
  </si>
  <si>
    <t>Ham robe</t>
  </si>
  <si>
    <t>Ham shirt</t>
  </si>
  <si>
    <t>Hammer</t>
  </si>
  <si>
    <t>Hammerstone hops</t>
  </si>
  <si>
    <t>Hammerstone seed</t>
  </si>
  <si>
    <t>Hard leather</t>
  </si>
  <si>
    <t>Hard leather shield</t>
  </si>
  <si>
    <t>Hardleather body</t>
  </si>
  <si>
    <t>Harmonised orb</t>
  </si>
  <si>
    <t>Harmony island teleport (tablet)</t>
  </si>
  <si>
    <t>Harpoon</t>
  </si>
  <si>
    <t>Harralander</t>
  </si>
  <si>
    <t>Harralander seed</t>
  </si>
  <si>
    <t>Harralander tar</t>
  </si>
  <si>
    <t>Hat eyepatch</t>
  </si>
  <si>
    <t>Headless arrow</t>
  </si>
  <si>
    <t>Headless atlatl dart</t>
  </si>
  <si>
    <t>Heavy ballista</t>
  </si>
  <si>
    <t>Heavy frame</t>
  </si>
  <si>
    <t>Helm of neitiznot</t>
  </si>
  <si>
    <t>Hemp</t>
  </si>
  <si>
    <t>Hemp seed</t>
  </si>
  <si>
    <t>Hemp yarn</t>
  </si>
  <si>
    <t>Herring</t>
  </si>
  <si>
    <t>Highwayman mask</t>
  </si>
  <si>
    <t>Hill giant club</t>
  </si>
  <si>
    <t>Holy blessing</t>
  </si>
  <si>
    <t>Holy book page set</t>
  </si>
  <si>
    <t>Holy elixir</t>
  </si>
  <si>
    <t>Holy mould</t>
  </si>
  <si>
    <t>Holy sandals</t>
  </si>
  <si>
    <t>Holy symbol</t>
  </si>
  <si>
    <t>Holy wraps</t>
  </si>
  <si>
    <t>Honourable blessing</t>
  </si>
  <si>
    <t>Hood of darkness</t>
  </si>
  <si>
    <t>Horn of plenty (empty)</t>
  </si>
  <si>
    <t>Hosidius banner</t>
  </si>
  <si>
    <t>Hosidius hood</t>
  </si>
  <si>
    <t>Hosidius scarf</t>
  </si>
  <si>
    <t>Huasca</t>
  </si>
  <si>
    <t>Huasca seed</t>
  </si>
  <si>
    <t>Hueycoatl hide</t>
  </si>
  <si>
    <t>Hueycoatl hide armour set</t>
  </si>
  <si>
    <t>Hueycoatl hide body</t>
  </si>
  <si>
    <t>Hueycoatl hide chaps</t>
  </si>
  <si>
    <t>Hueycoatl hide coif</t>
  </si>
  <si>
    <t>Hueycoatl hide vambraces</t>
  </si>
  <si>
    <t>Hunter potion(1)</t>
  </si>
  <si>
    <t>Hunter potion(2)</t>
  </si>
  <si>
    <t>Hunter potion(3)</t>
  </si>
  <si>
    <t>Hunter potion(4)</t>
  </si>
  <si>
    <t>Hunter spear tips</t>
  </si>
  <si>
    <t>Hunter's spear</t>
  </si>
  <si>
    <t>Hunters' crossbow</t>
  </si>
  <si>
    <t>Hunters' sunlight crossbow</t>
  </si>
  <si>
    <t>Hunting mix(1)</t>
  </si>
  <si>
    <t>Hunting mix(2)</t>
  </si>
  <si>
    <t>Hydra bones</t>
  </si>
  <si>
    <t>Hydra leather</t>
  </si>
  <si>
    <t>Hydra tail</t>
  </si>
  <si>
    <t>Hydra's claw</t>
  </si>
  <si>
    <t>Ice element staff crown</t>
  </si>
  <si>
    <t>Ice plateau teleport (tablet)</t>
  </si>
  <si>
    <t>Icy basalt</t>
  </si>
  <si>
    <t>Imbued heart</t>
  </si>
  <si>
    <t>Immature tecu salamander</t>
  </si>
  <si>
    <t>Imp mask</t>
  </si>
  <si>
    <t>Imperial rosé</t>
  </si>
  <si>
    <t>Impling jar</t>
  </si>
  <si>
    <t>Incomplete heavy ballista</t>
  </si>
  <si>
    <t>Incomplete light ballista</t>
  </si>
  <si>
    <t>Infernal ashes</t>
  </si>
  <si>
    <t>Infernal plate</t>
  </si>
  <si>
    <t>Infinity boots</t>
  </si>
  <si>
    <t>Infinity bottoms</t>
  </si>
  <si>
    <t>Infinity gloves</t>
  </si>
  <si>
    <t>Infinity hat</t>
  </si>
  <si>
    <t>Infinity top</t>
  </si>
  <si>
    <t>Initiate cuisse</t>
  </si>
  <si>
    <t>Initiate harness m</t>
  </si>
  <si>
    <t>Initiate hauberk</t>
  </si>
  <si>
    <t>Initiate sallet</t>
  </si>
  <si>
    <t>Inky paint</t>
  </si>
  <si>
    <t>Inoculation bracelet</t>
  </si>
  <si>
    <t>Inquisitor's armour set</t>
  </si>
  <si>
    <t>Inquisitor's great helm</t>
  </si>
  <si>
    <t>Inquisitor's hauberk</t>
  </si>
  <si>
    <t>Inquisitor's mace</t>
  </si>
  <si>
    <t>Inquisitor's plateskirt</t>
  </si>
  <si>
    <t>Insect repellent</t>
  </si>
  <si>
    <t>Insulated boots</t>
  </si>
  <si>
    <t>Iorwerth camp teleport</t>
  </si>
  <si>
    <t>Irit seed</t>
  </si>
  <si>
    <t>Irit tar</t>
  </si>
  <si>
    <t>Iron 2h sword</t>
  </si>
  <si>
    <t>Iron arrow</t>
  </si>
  <si>
    <t>Iron arrow(p)</t>
  </si>
  <si>
    <t>Iron arrow(p+)</t>
  </si>
  <si>
    <t>Iron arrow(p++)</t>
  </si>
  <si>
    <t>Iron arrowtips</t>
  </si>
  <si>
    <t>Iron axe</t>
  </si>
  <si>
    <t>Iron bar</t>
  </si>
  <si>
    <t>Iron battleaxe</t>
  </si>
  <si>
    <t>Iron bolts</t>
  </si>
  <si>
    <t>Iron bolts (p)</t>
  </si>
  <si>
    <t>Iron bolts (p+)</t>
  </si>
  <si>
    <t>Iron bolts (p++)</t>
  </si>
  <si>
    <t>Iron bolts (unf)</t>
  </si>
  <si>
    <t>Iron boots</t>
  </si>
  <si>
    <t>Iron brutal</t>
  </si>
  <si>
    <t>Iron cannonball</t>
  </si>
  <si>
    <t>Iron chainbody</t>
  </si>
  <si>
    <t>Iron claws</t>
  </si>
  <si>
    <t>Iron crossbow</t>
  </si>
  <si>
    <t>Iron crossbow (u)</t>
  </si>
  <si>
    <t>Iron dagger</t>
  </si>
  <si>
    <t>Iron dagger(p)</t>
  </si>
  <si>
    <t>Iron dagger(p+)</t>
  </si>
  <si>
    <t>Iron dagger(p++)</t>
  </si>
  <si>
    <t>Iron dart</t>
  </si>
  <si>
    <t>Iron dart (p)</t>
  </si>
  <si>
    <t>Iron dart tip</t>
  </si>
  <si>
    <t>Iron dart(p+)</t>
  </si>
  <si>
    <t>Iron dart(p++)</t>
  </si>
  <si>
    <t>Iron dragon mask</t>
  </si>
  <si>
    <t>Iron felling axe</t>
  </si>
  <si>
    <t>Iron full helm</t>
  </si>
  <si>
    <t>Iron full helm (g)</t>
  </si>
  <si>
    <t>Iron full helm (t)</t>
  </si>
  <si>
    <t>Iron gold-trimmed set (lg)</t>
  </si>
  <si>
    <t>Iron gold-trimmed set (sk)</t>
  </si>
  <si>
    <t>Iron halberd</t>
  </si>
  <si>
    <t>Iron hasta</t>
  </si>
  <si>
    <t>Iron hasta(p)</t>
  </si>
  <si>
    <t>Iron hasta(p+)</t>
  </si>
  <si>
    <t>Iron hasta(p++)</t>
  </si>
  <si>
    <t>Iron javelin</t>
  </si>
  <si>
    <t>Iron javelin tips</t>
  </si>
  <si>
    <t>Iron javelin(p)</t>
  </si>
  <si>
    <t>Iron javelin(p+)</t>
  </si>
  <si>
    <t>Iron javelin(p++)</t>
  </si>
  <si>
    <t>Iron keel parts</t>
  </si>
  <si>
    <t>Iron kiteshield</t>
  </si>
  <si>
    <t>Iron kiteshield (g)</t>
  </si>
  <si>
    <t>Iron kiteshield (t)</t>
  </si>
  <si>
    <t>Iron knife</t>
  </si>
  <si>
    <t>Iron knife(p)</t>
  </si>
  <si>
    <t>Iron knife(p+)</t>
  </si>
  <si>
    <t>Iron knife(p++)</t>
  </si>
  <si>
    <t>Iron limbs</t>
  </si>
  <si>
    <t>Iron longsword</t>
  </si>
  <si>
    <t>Iron mace</t>
  </si>
  <si>
    <t>Iron med helm</t>
  </si>
  <si>
    <t>Iron nails</t>
  </si>
  <si>
    <t>Iron ore</t>
  </si>
  <si>
    <t>Iron pickaxe</t>
  </si>
  <si>
    <t>Iron platebody</t>
  </si>
  <si>
    <t>Iron platebody (g)</t>
  </si>
  <si>
    <t>Iron platebody (t)</t>
  </si>
  <si>
    <t>Iron platelegs</t>
  </si>
  <si>
    <t>Iron platelegs (g)</t>
  </si>
  <si>
    <t>Iron platelegs (t)</t>
  </si>
  <si>
    <t>Iron plateskirt</t>
  </si>
  <si>
    <t>Iron plateskirt (g)</t>
  </si>
  <si>
    <t>Iron plateskirt (t)</t>
  </si>
  <si>
    <t>Iron scimitar</t>
  </si>
  <si>
    <t>Iron set (lg)</t>
  </si>
  <si>
    <t>Iron set (sk)</t>
  </si>
  <si>
    <t>Iron spear</t>
  </si>
  <si>
    <t>Iron spear(p)</t>
  </si>
  <si>
    <t>Iron spear(p+)</t>
  </si>
  <si>
    <t>Iron spear(p++)</t>
  </si>
  <si>
    <t>Iron spit</t>
  </si>
  <si>
    <t>Iron sq shield</t>
  </si>
  <si>
    <t>Iron sword</t>
  </si>
  <si>
    <t>Iron thrownaxe</t>
  </si>
  <si>
    <t>Iron trimmed set (lg)</t>
  </si>
  <si>
    <t>Iron trimmed set (sk)</t>
  </si>
  <si>
    <t>Iron warhammer</t>
  </si>
  <si>
    <t>Ironwood blowpipe (empty)</t>
  </si>
  <si>
    <t>Ironwood hull parts</t>
  </si>
  <si>
    <t>Ironwood logs</t>
  </si>
  <si>
    <t>Ironwood plank</t>
  </si>
  <si>
    <t>Ironwood pyre logs</t>
  </si>
  <si>
    <t>Ironwood repair kit</t>
  </si>
  <si>
    <t>Ironwood sapling</t>
  </si>
  <si>
    <t>Ironwood seed</t>
  </si>
  <si>
    <t>Ivory comb</t>
  </si>
  <si>
    <t>Ixcoztic white</t>
  </si>
  <si>
    <t>Jade</t>
  </si>
  <si>
    <t>Jade amulet</t>
  </si>
  <si>
    <t>Jade amulet (u)</t>
  </si>
  <si>
    <t>Jade bolt tips</t>
  </si>
  <si>
    <t>Jade bracelet</t>
  </si>
  <si>
    <t>Jade dragon bolts</t>
  </si>
  <si>
    <t>Jade dragon bolts (e)</t>
  </si>
  <si>
    <t>Jade machete</t>
  </si>
  <si>
    <t>Jade necklace</t>
  </si>
  <si>
    <t>Jade ring</t>
  </si>
  <si>
    <t>Jaguar fur</t>
  </si>
  <si>
    <t>Jangerberry seed</t>
  </si>
  <si>
    <t>Jar of chemicals</t>
  </si>
  <si>
    <t>Jar of darkness</t>
  </si>
  <si>
    <t>Jar of decay</t>
  </si>
  <si>
    <t>Jar of dirt</t>
  </si>
  <si>
    <t>Jar of dreams</t>
  </si>
  <si>
    <t>Jar of eyes</t>
  </si>
  <si>
    <t>Jar of miasma</t>
  </si>
  <si>
    <t>Jar of sand</t>
  </si>
  <si>
    <t>Jar of smoke</t>
  </si>
  <si>
    <t>Jar of souls</t>
  </si>
  <si>
    <t>Jar of spirits</t>
  </si>
  <si>
    <t>Jar of stone</t>
  </si>
  <si>
    <t>Jar of swamp</t>
  </si>
  <si>
    <t>Javelin shaft</t>
  </si>
  <si>
    <t>Jerboa tail</t>
  </si>
  <si>
    <t>Jester cape</t>
  </si>
  <si>
    <t>Jogre bones</t>
  </si>
  <si>
    <t>Jug</t>
  </si>
  <si>
    <t>Jug of water</t>
  </si>
  <si>
    <t>Jug of wine</t>
  </si>
  <si>
    <t>Jumbo squid</t>
  </si>
  <si>
    <t>Jungle camo legs</t>
  </si>
  <si>
    <t>Jungle camo legs (equipped)</t>
  </si>
  <si>
    <t>Jungle camo top</t>
  </si>
  <si>
    <t>Jungle camo top (equipped)</t>
  </si>
  <si>
    <t>Jungle demon mask</t>
  </si>
  <si>
    <t>Justiciar armour set</t>
  </si>
  <si>
    <t>Justiciar chestguard</t>
  </si>
  <si>
    <t>Justiciar faceguard</t>
  </si>
  <si>
    <t>Justiciar legguards</t>
  </si>
  <si>
    <t>Jute fibre</t>
  </si>
  <si>
    <t>Jute seed</t>
  </si>
  <si>
    <t>Karambwan vessel</t>
  </si>
  <si>
    <t>Karambwan vessel (baited)</t>
  </si>
  <si>
    <t>Karidian disguise</t>
  </si>
  <si>
    <t>Karil's armour set</t>
  </si>
  <si>
    <t>Karil's coif</t>
  </si>
  <si>
    <t>Karil's coif 0</t>
  </si>
  <si>
    <t>Karil's crossbow</t>
  </si>
  <si>
    <t>Karil's crossbow 0</t>
  </si>
  <si>
    <t>Karil's leatherskirt</t>
  </si>
  <si>
    <t>Karil's leatherskirt 0</t>
  </si>
  <si>
    <t>Karil's leathertop</t>
  </si>
  <si>
    <t>Karil's leathertop 0</t>
  </si>
  <si>
    <t>Katana</t>
  </si>
  <si>
    <t>Kebab</t>
  </si>
  <si>
    <t>Kebab mix</t>
  </si>
  <si>
    <t>Kebbit bolts</t>
  </si>
  <si>
    <t>Kebbit claws</t>
  </si>
  <si>
    <t>Kebbit spike</t>
  </si>
  <si>
    <t>Kebbit teeth</t>
  </si>
  <si>
    <t>Keg of beer</t>
  </si>
  <si>
    <t>Key master teleport</t>
  </si>
  <si>
    <t>Kharidian headpiece</t>
  </si>
  <si>
    <t>Kharyrll teleport (tablet)</t>
  </si>
  <si>
    <t>Khazard teleport (tablet)</t>
  </si>
  <si>
    <t>King worm</t>
  </si>
  <si>
    <t>Kitchen knife</t>
  </si>
  <si>
    <t>Kitchen table (flatpack)</t>
  </si>
  <si>
    <t>Knife</t>
  </si>
  <si>
    <t>Kodai insignia</t>
  </si>
  <si>
    <t>Kodai wand</t>
  </si>
  <si>
    <t>Kourend castle teleport (tablet)</t>
  </si>
  <si>
    <t>Kovac's grog</t>
  </si>
  <si>
    <t>Kraken colada</t>
  </si>
  <si>
    <t>Kraken tentacle</t>
  </si>
  <si>
    <t>Krandorian hops</t>
  </si>
  <si>
    <t>Krandorian seed</t>
  </si>
  <si>
    <t>Kwuarm</t>
  </si>
  <si>
    <t>Kwuarm seed</t>
  </si>
  <si>
    <t>Kyatt fur</t>
  </si>
  <si>
    <t>Kyatt hat</t>
  </si>
  <si>
    <t>Kyatt legs</t>
  </si>
  <si>
    <t>Kyatt top</t>
  </si>
  <si>
    <t>Lantadyme</t>
  </si>
  <si>
    <t>Lantadyme seed</t>
  </si>
  <si>
    <t>Lantern lens</t>
  </si>
  <si>
    <t>Large adamant keel parts</t>
  </si>
  <si>
    <t>Large bronze keel parts</t>
  </si>
  <si>
    <t>Large camphor hull parts</t>
  </si>
  <si>
    <t>Large dragon keel parts</t>
  </si>
  <si>
    <t>Large iron keel parts</t>
  </si>
  <si>
    <t>Large ironwood hull parts</t>
  </si>
  <si>
    <t>Large mahogany hull parts</t>
  </si>
  <si>
    <t>Large mithril keel parts</t>
  </si>
  <si>
    <t>Large oak bed (flatpack)</t>
  </si>
  <si>
    <t>Large oak hull parts</t>
  </si>
  <si>
    <t>Large rosewood hull parts</t>
  </si>
  <si>
    <t>Large rune keel parts</t>
  </si>
  <si>
    <t>Large steel keel parts</t>
  </si>
  <si>
    <t>Large teak bed (flatpack)</t>
  </si>
  <si>
    <t>Large teak hull parts</t>
  </si>
  <si>
    <t>Large wooden hull parts</t>
  </si>
  <si>
    <t>Larran's key</t>
  </si>
  <si>
    <t>Larupia fur</t>
  </si>
  <si>
    <t>Larupia hat</t>
  </si>
  <si>
    <t>Larupia legs</t>
  </si>
  <si>
    <t>Larupia top</t>
  </si>
  <si>
    <t>Lassar teleport (tablet)</t>
  </si>
  <si>
    <t>Lava battlestaff</t>
  </si>
  <si>
    <t>Lava dragon bones</t>
  </si>
  <si>
    <t>Lava dragon mask</t>
  </si>
  <si>
    <t>Lava rune</t>
  </si>
  <si>
    <t>Lava scale</t>
  </si>
  <si>
    <t>Lava staff upgrade kit</t>
  </si>
  <si>
    <t>Law rune</t>
  </si>
  <si>
    <t>Lead bar</t>
  </si>
  <si>
    <t>Lead ore</t>
  </si>
  <si>
    <t>Leaf-bladed battleaxe</t>
  </si>
  <si>
    <t>Leaf-bladed sword</t>
  </si>
  <si>
    <t>Lean snail</t>
  </si>
  <si>
    <t>Lean snail meat</t>
  </si>
  <si>
    <t>Leaping salmon</t>
  </si>
  <si>
    <t>Leaping sturgeon</t>
  </si>
  <si>
    <t>Leaping trout</t>
  </si>
  <si>
    <t>Leather</t>
  </si>
  <si>
    <t>Leather body</t>
  </si>
  <si>
    <t>Leather body (g)</t>
  </si>
  <si>
    <t>Leather boots</t>
  </si>
  <si>
    <t>Leather chaps</t>
  </si>
  <si>
    <t>Leather chaps (g)</t>
  </si>
  <si>
    <t>Leather cowl</t>
  </si>
  <si>
    <t>Leather gloves</t>
  </si>
  <si>
    <t>Leather vambraces</t>
  </si>
  <si>
    <t>Leaves</t>
  </si>
  <si>
    <t>Left eye patch</t>
  </si>
  <si>
    <t>Lemon</t>
  </si>
  <si>
    <t>Lemon chunks</t>
  </si>
  <si>
    <t>Lemon slices</t>
  </si>
  <si>
    <t>Leprechaun hat</t>
  </si>
  <si>
    <t>Lesser demon mask</t>
  </si>
  <si>
    <t>Light ballista</t>
  </si>
  <si>
    <t>Light bow tie</t>
  </si>
  <si>
    <t>Light frame</t>
  </si>
  <si>
    <t>Light infinity colour kit</t>
  </si>
  <si>
    <t>Light orb</t>
  </si>
  <si>
    <t>Light trousers</t>
  </si>
  <si>
    <t>Light tuxedo cuffs</t>
  </si>
  <si>
    <t>Light tuxedo jacket</t>
  </si>
  <si>
    <t>Light tuxedo shoes</t>
  </si>
  <si>
    <t>Lightbearer</t>
  </si>
  <si>
    <t>Lime</t>
  </si>
  <si>
    <t>Lime chunks</t>
  </si>
  <si>
    <t>Lime slices</t>
  </si>
  <si>
    <t>Limestone</t>
  </si>
  <si>
    <t>Limestone brick</t>
  </si>
  <si>
    <t>Limpwurt seed</t>
  </si>
  <si>
    <t>Linen (Icthlarin's Little Helper)</t>
  </si>
  <si>
    <t>Linen yarn</t>
  </si>
  <si>
    <t>Lizardkicker</t>
  </si>
  <si>
    <t>Lizardman fang</t>
  </si>
  <si>
    <t>Loar remains</t>
  </si>
  <si>
    <t>Lobster</t>
  </si>
  <si>
    <t>Lobster pot</t>
  </si>
  <si>
    <t>Lockpick</t>
  </si>
  <si>
    <t>Locust meat</t>
  </si>
  <si>
    <t>Log brace</t>
  </si>
  <si>
    <t>Logs</t>
  </si>
  <si>
    <t>Long kebbit bolts</t>
  </si>
  <si>
    <t>Long kebbit spike</t>
  </si>
  <si>
    <t>Longbow</t>
  </si>
  <si>
    <t>Longbow (u)</t>
  </si>
  <si>
    <t>Loop half of key</t>
  </si>
  <si>
    <t>Looting bag note</t>
  </si>
  <si>
    <t>Lovakengj banner</t>
  </si>
  <si>
    <t>Lovakengj hood</t>
  </si>
  <si>
    <t>Lovakengj scarf</t>
  </si>
  <si>
    <t>Lumberyard teleport</t>
  </si>
  <si>
    <t>Lumbridge teleport (tablet)</t>
  </si>
  <si>
    <t>Lunar isle teleport</t>
  </si>
  <si>
    <t>M. treasure chest (flatpack)</t>
  </si>
  <si>
    <t>Machete</t>
  </si>
  <si>
    <t>Mackerel</t>
  </si>
  <si>
    <t>Mage's book</t>
  </si>
  <si>
    <t>Magic bird house</t>
  </si>
  <si>
    <t>Magic box</t>
  </si>
  <si>
    <t>Magic cape rack (flatpack)</t>
  </si>
  <si>
    <t>Magic comp bow</t>
  </si>
  <si>
    <t>Magic essence mix(1)</t>
  </si>
  <si>
    <t>Magic essence mix(2)</t>
  </si>
  <si>
    <t>Magic fang</t>
  </si>
  <si>
    <t>Magic leaves</t>
  </si>
  <si>
    <t>Magic logs</t>
  </si>
  <si>
    <t>Magic longbow</t>
  </si>
  <si>
    <t>Magic longbow (u)</t>
  </si>
  <si>
    <t>Magic mix(1)</t>
  </si>
  <si>
    <t>Magic mix(2)</t>
  </si>
  <si>
    <t>Magic potion(1)</t>
  </si>
  <si>
    <t>Magic potion(2)</t>
  </si>
  <si>
    <t>Magic pyre logs</t>
  </si>
  <si>
    <t>Magic sapling</t>
  </si>
  <si>
    <t>Magic seed</t>
  </si>
  <si>
    <t>Magic shield</t>
  </si>
  <si>
    <t>Magic shortbow</t>
  </si>
  <si>
    <t>Magic shortbow (u)</t>
  </si>
  <si>
    <t>Magic shortbow scroll</t>
  </si>
  <si>
    <t>Magic staff</t>
  </si>
  <si>
    <t>Magic stock</t>
  </si>
  <si>
    <t>Magic stone</t>
  </si>
  <si>
    <t>Magic string</t>
  </si>
  <si>
    <t>Magpie impling jar</t>
  </si>
  <si>
    <t>Magus ring</t>
  </si>
  <si>
    <t>Mahogany armchair (flatpack)</t>
  </si>
  <si>
    <t>Mahogany armour case (flatpack)</t>
  </si>
  <si>
    <t>Mahogany bench (flatpack)</t>
  </si>
  <si>
    <t>Mahogany bird house</t>
  </si>
  <si>
    <t>Mahogany bookcase (flatpack)</t>
  </si>
  <si>
    <t>Mahogany cape rack (flatpack)</t>
  </si>
  <si>
    <t>Mahogany dresser (flatpack)</t>
  </si>
  <si>
    <t>Mahogany fancy dress box (flatpack)</t>
  </si>
  <si>
    <t>Mahogany hull parts</t>
  </si>
  <si>
    <t>Mahogany logs</t>
  </si>
  <si>
    <t>Mahogany magic wardrobe (flatpack)</t>
  </si>
  <si>
    <t>Mahogany plank</t>
  </si>
  <si>
    <t>Mahogany pyre logs</t>
  </si>
  <si>
    <t>Mahogany repair kit</t>
  </si>
  <si>
    <t>Mahogany sapling</t>
  </si>
  <si>
    <t>Mahogany seed</t>
  </si>
  <si>
    <t>Mahogany stock</t>
  </si>
  <si>
    <t>Mahogany table (flatpack)</t>
  </si>
  <si>
    <t>Mahogany toy box (flatpack)</t>
  </si>
  <si>
    <t>Mahogany wardrobe (flatpack)</t>
  </si>
  <si>
    <t>Malediction shard 1</t>
  </si>
  <si>
    <t>Malediction shard 2</t>
  </si>
  <si>
    <t>Malediction shard 3</t>
  </si>
  <si>
    <t>Malediction ward</t>
  </si>
  <si>
    <t>Malicious ashes</t>
  </si>
  <si>
    <t>Manta ray</t>
  </si>
  <si>
    <t>Maple bird house</t>
  </si>
  <si>
    <t>Maple blackjack</t>
  </si>
  <si>
    <t>Maple blackjack(d)</t>
  </si>
  <si>
    <t>Maple blackjack(o)</t>
  </si>
  <si>
    <t>Maple leaves</t>
  </si>
  <si>
    <t>Maple logs</t>
  </si>
  <si>
    <t>Maple longbow</t>
  </si>
  <si>
    <t>Maple longbow (u)</t>
  </si>
  <si>
    <t>Maple pyre logs</t>
  </si>
  <si>
    <t>Maple roots</t>
  </si>
  <si>
    <t>Maple sapling</t>
  </si>
  <si>
    <t>Maple seed</t>
  </si>
  <si>
    <t>Maple shield</t>
  </si>
  <si>
    <t>Maple shortbow</t>
  </si>
  <si>
    <t>Maple shortbow (u)</t>
  </si>
  <si>
    <t>Maple stock</t>
  </si>
  <si>
    <t>Marble block</t>
  </si>
  <si>
    <t>Marble cape rack (flatpack)</t>
  </si>
  <si>
    <t>Marble magic wardrobe (flatpack)</t>
  </si>
  <si>
    <t>Marigold seed</t>
  </si>
  <si>
    <t>Marigolds</t>
  </si>
  <si>
    <t>Marlin</t>
  </si>
  <si>
    <t>Marrentill</t>
  </si>
  <si>
    <t>Marrentill seed</t>
  </si>
  <si>
    <t>Marrentill tar</t>
  </si>
  <si>
    <t>Mask of ranul</t>
  </si>
  <si>
    <t>Masori armour set (f)</t>
  </si>
  <si>
    <t>Masori body</t>
  </si>
  <si>
    <t>Masori body (f)</t>
  </si>
  <si>
    <t>Masori chaps</t>
  </si>
  <si>
    <t>Masori chaps (f)</t>
  </si>
  <si>
    <t>Masori mask</t>
  </si>
  <si>
    <t>Masori mask (f)</t>
  </si>
  <si>
    <t>Master scroll book (empty)</t>
  </si>
  <si>
    <t>Master wand</t>
  </si>
  <si>
    <t>Mature cider</t>
  </si>
  <si>
    <t>Mature wmb</t>
  </si>
  <si>
    <t>Meat pie</t>
  </si>
  <si>
    <t>Meat pizza</t>
  </si>
  <si>
    <t>Meat tenderiser</t>
  </si>
  <si>
    <t>Menaphite purple hat</t>
  </si>
  <si>
    <t>Menaphite purple kilt</t>
  </si>
  <si>
    <t>Menaphite purple robe</t>
  </si>
  <si>
    <t>Menaphite purple top</t>
  </si>
  <si>
    <t>Menaphite red hat</t>
  </si>
  <si>
    <t>Menaphite red kilt</t>
  </si>
  <si>
    <t>Menaphite red robe</t>
  </si>
  <si>
    <t>Menaphite red top</t>
  </si>
  <si>
    <t>Menaphite remedy(1)</t>
  </si>
  <si>
    <t>Menaphite remedy(2)</t>
  </si>
  <si>
    <t>Menaphite remedy(3)</t>
  </si>
  <si>
    <t>Menaphite remedy(4)</t>
  </si>
  <si>
    <t>Merchant's paint</t>
  </si>
  <si>
    <t>Merfolk trident</t>
  </si>
  <si>
    <t>Metztonalli white</t>
  </si>
  <si>
    <t>Minced meat</t>
  </si>
  <si>
    <t>Mind altar teleport (tablet)</t>
  </si>
  <si>
    <t>Mind bomb(4)</t>
  </si>
  <si>
    <t>Mind bomb(m4)</t>
  </si>
  <si>
    <t>Mind helmet</t>
  </si>
  <si>
    <t>Mind rune</t>
  </si>
  <si>
    <t>Mind shield</t>
  </si>
  <si>
    <t>Mind talisman</t>
  </si>
  <si>
    <t>Mind tiara</t>
  </si>
  <si>
    <t>Mining helmet</t>
  </si>
  <si>
    <t>Mint cake</t>
  </si>
  <si>
    <t>Mirror shield</t>
  </si>
  <si>
    <t>Mist battlestaff</t>
  </si>
  <si>
    <t>Mist rune</t>
  </si>
  <si>
    <t>Mith grapple</t>
  </si>
  <si>
    <t>Mith grapple (unf)</t>
  </si>
  <si>
    <t>Mith grapple tip</t>
  </si>
  <si>
    <t>Mithril 2h sword</t>
  </si>
  <si>
    <t>Mithril arrow</t>
  </si>
  <si>
    <t>Mithril arrow(p)</t>
  </si>
  <si>
    <t>Mithril arrow(p+)</t>
  </si>
  <si>
    <t>Mithril arrow(p++)</t>
  </si>
  <si>
    <t>Mithril arrowtips</t>
  </si>
  <si>
    <t>Mithril axe</t>
  </si>
  <si>
    <t>Mithril bar</t>
  </si>
  <si>
    <t>Mithril battleaxe</t>
  </si>
  <si>
    <t>Mithril bolts</t>
  </si>
  <si>
    <t>Mithril bolts (p)</t>
  </si>
  <si>
    <t>Mithril bolts (p+)</t>
  </si>
  <si>
    <t>Mithril bolts (p++)</t>
  </si>
  <si>
    <t>Mithril bolts (unf)</t>
  </si>
  <si>
    <t>Mithril boots</t>
  </si>
  <si>
    <t>Mithril brutal</t>
  </si>
  <si>
    <t>Mithril cannonball</t>
  </si>
  <si>
    <t>Mithril chainbody</t>
  </si>
  <si>
    <t>Mithril claws</t>
  </si>
  <si>
    <t>Mithril crossbow</t>
  </si>
  <si>
    <t>Mithril crossbow (u)</t>
  </si>
  <si>
    <t>Mithril dagger</t>
  </si>
  <si>
    <t>Mithril dagger(p)</t>
  </si>
  <si>
    <t>Mithril dagger(p+)</t>
  </si>
  <si>
    <t>Mithril dagger(p++)</t>
  </si>
  <si>
    <t>Mithril dart</t>
  </si>
  <si>
    <t>Mithril dart tip</t>
  </si>
  <si>
    <t>Mithril dart(p)</t>
  </si>
  <si>
    <t>Mithril dart(p+)</t>
  </si>
  <si>
    <t>Mithril dart(p++)</t>
  </si>
  <si>
    <t>Mithril dragon mask</t>
  </si>
  <si>
    <t>Mithril felling axe</t>
  </si>
  <si>
    <t>Mithril full helm</t>
  </si>
  <si>
    <t>Mithril full helm (g)</t>
  </si>
  <si>
    <t>Mithril full helm (t)</t>
  </si>
  <si>
    <t>Mithril gold-trimmed set (lg)</t>
  </si>
  <si>
    <t>Mithril gold-trimmed set (sk)</t>
  </si>
  <si>
    <t>Mithril halberd</t>
  </si>
  <si>
    <t>Mithril hasta</t>
  </si>
  <si>
    <t>Mithril hasta(p)</t>
  </si>
  <si>
    <t>Mithril hasta(p+)</t>
  </si>
  <si>
    <t>Mithril hasta(p++)</t>
  </si>
  <si>
    <t>Mithril javelin</t>
  </si>
  <si>
    <t>Mithril javelin tips</t>
  </si>
  <si>
    <t>Mithril javelin(p)</t>
  </si>
  <si>
    <t>Mithril javelin(p+)</t>
  </si>
  <si>
    <t>Mithril javelin(p++)</t>
  </si>
  <si>
    <t>Mithril keel parts</t>
  </si>
  <si>
    <t>Mithril kiteshield</t>
  </si>
  <si>
    <t>Mithril kiteshield (g)</t>
  </si>
  <si>
    <t>Mithril kiteshield (t)</t>
  </si>
  <si>
    <t>Mithril knife</t>
  </si>
  <si>
    <t>Mithril knife(p)</t>
  </si>
  <si>
    <t>Mithril knife(p+)</t>
  </si>
  <si>
    <t>Mithril knife(p++)</t>
  </si>
  <si>
    <t>Mithril limbs</t>
  </si>
  <si>
    <t>Mithril longsword</t>
  </si>
  <si>
    <t>Mithril mace</t>
  </si>
  <si>
    <t>Mithril med helm</t>
  </si>
  <si>
    <t>Mithril nails</t>
  </si>
  <si>
    <t>Mithril ore</t>
  </si>
  <si>
    <t>Mithril pickaxe</t>
  </si>
  <si>
    <t>Mithril platebody</t>
  </si>
  <si>
    <t>Mithril platebody (g)</t>
  </si>
  <si>
    <t>Mithril platebody (t)</t>
  </si>
  <si>
    <t>Mithril platelegs</t>
  </si>
  <si>
    <t>Mithril platelegs (g)</t>
  </si>
  <si>
    <t>Mithril platelegs (t)</t>
  </si>
  <si>
    <t>Mithril plateskirt</t>
  </si>
  <si>
    <t>Mithril plateskirt (g)</t>
  </si>
  <si>
    <t>Mithril plateskirt (t)</t>
  </si>
  <si>
    <t>Mithril scimitar</t>
  </si>
  <si>
    <t>Mithril seeds</t>
  </si>
  <si>
    <t>Mithril set (lg)</t>
  </si>
  <si>
    <t>Mithril set (sk)</t>
  </si>
  <si>
    <t>Mithril spear</t>
  </si>
  <si>
    <t>Mithril spear(p)</t>
  </si>
  <si>
    <t>Mithril spear(p+)</t>
  </si>
  <si>
    <t>Mithril spear(p++)</t>
  </si>
  <si>
    <t>Mithril sq shield</t>
  </si>
  <si>
    <t>Mithril sword</t>
  </si>
  <si>
    <t>Mithril thrownaxe</t>
  </si>
  <si>
    <t>Mithril trimmed set (lg)</t>
  </si>
  <si>
    <t>Mithril trimmed set (sk)</t>
  </si>
  <si>
    <t>Mithril warhammer</t>
  </si>
  <si>
    <t>Mixed flowers</t>
  </si>
  <si>
    <t>Mixed hide armour set</t>
  </si>
  <si>
    <t>Mixed hide base</t>
  </si>
  <si>
    <t>Mixed hide boots</t>
  </si>
  <si>
    <t>Mixed hide cape</t>
  </si>
  <si>
    <t>Mixed hide legs</t>
  </si>
  <si>
    <t>Mixed hide top</t>
  </si>
  <si>
    <t>Mokhaiotl waystone</t>
  </si>
  <si>
    <t>Mole claw</t>
  </si>
  <si>
    <t>Mole skin</t>
  </si>
  <si>
    <t>Mole slippers</t>
  </si>
  <si>
    <t>Molten glass</t>
  </si>
  <si>
    <t>Monk's robe</t>
  </si>
  <si>
    <t>Monk's robe (g)</t>
  </si>
  <si>
    <t>Monk's robe (t)</t>
  </si>
  <si>
    <t>Monk's robe top</t>
  </si>
  <si>
    <t>Monk's robe top (g)</t>
  </si>
  <si>
    <t>Monk's robe top (t)</t>
  </si>
  <si>
    <t>Monkey bar</t>
  </si>
  <si>
    <t>Monkey bones</t>
  </si>
  <si>
    <t>Monkey nuts</t>
  </si>
  <si>
    <t>Monkey tail</t>
  </si>
  <si>
    <t>Monkfish</t>
  </si>
  <si>
    <t>Monocle</t>
  </si>
  <si>
    <t>Moon-lite</t>
  </si>
  <si>
    <t>Moonclan teleport (tablet)</t>
  </si>
  <si>
    <t>Moonlight antelope antler</t>
  </si>
  <si>
    <t>Moonlight antelope fur</t>
  </si>
  <si>
    <t>Moonlight antler bolts</t>
  </si>
  <si>
    <t>Moonlight mead</t>
  </si>
  <si>
    <t>Moonlight mead(4)</t>
  </si>
  <si>
    <t>Moonlight mead(m)</t>
  </si>
  <si>
    <t>Moonlight mead(m4)</t>
  </si>
  <si>
    <t>Moonlight moth (item)</t>
  </si>
  <si>
    <t>Moonlight moth mix (1)</t>
  </si>
  <si>
    <t>Moonlight moth mix (2)</t>
  </si>
  <si>
    <t>Morrigan's coif</t>
  </si>
  <si>
    <t>Morrigan's javelin</t>
  </si>
  <si>
    <t>Morrigan's leather body</t>
  </si>
  <si>
    <t>Morrigan's leather chaps</t>
  </si>
  <si>
    <t>Morrigan's throwing axe</t>
  </si>
  <si>
    <t>Mort myre pear</t>
  </si>
  <si>
    <t>Mort myre stem</t>
  </si>
  <si>
    <t>Mort'ton teleport</t>
  </si>
  <si>
    <t>Mos le'harmless teleport</t>
  </si>
  <si>
    <t>Mottled eel</t>
  </si>
  <si>
    <t>Mud battlestaff</t>
  </si>
  <si>
    <t>Mud pie</t>
  </si>
  <si>
    <t>Mud rune</t>
  </si>
  <si>
    <t>Muddy key</t>
  </si>
  <si>
    <t>Mummy's body</t>
  </si>
  <si>
    <t>Mummy's feet</t>
  </si>
  <si>
    <t>Mummy's hands</t>
  </si>
  <si>
    <t>Mummy's head</t>
  </si>
  <si>
    <t>Mummy's legs</t>
  </si>
  <si>
    <t>Mushroom</t>
  </si>
  <si>
    <t>Mushroom &amp; onion</t>
  </si>
  <si>
    <t>Mushroom pie</t>
  </si>
  <si>
    <t>Mushroom potato</t>
  </si>
  <si>
    <t>Mushroom spore</t>
  </si>
  <si>
    <t>Musketeer hat</t>
  </si>
  <si>
    <t>Musketeer pants</t>
  </si>
  <si>
    <t>Musketeer tabard</t>
  </si>
  <si>
    <t>Myre snelm</t>
  </si>
  <si>
    <t>Mystic air staff</t>
  </si>
  <si>
    <t>Mystic boots</t>
  </si>
  <si>
    <t>Mystic boots (dark)</t>
  </si>
  <si>
    <t>Mystic boots (dusk)</t>
  </si>
  <si>
    <t>Mystic boots (light)</t>
  </si>
  <si>
    <t>Mystic dust staff</t>
  </si>
  <si>
    <t>Mystic earth staff</t>
  </si>
  <si>
    <t>Mystic fire staff</t>
  </si>
  <si>
    <t>Mystic gloves</t>
  </si>
  <si>
    <t>Mystic gloves (dark)</t>
  </si>
  <si>
    <t>Mystic gloves (dusk)</t>
  </si>
  <si>
    <t>Mystic gloves (light)</t>
  </si>
  <si>
    <t>Mystic hat</t>
  </si>
  <si>
    <t>Mystic hat (dark)</t>
  </si>
  <si>
    <t>Mystic hat (dusk)</t>
  </si>
  <si>
    <t>Mystic hat (light)</t>
  </si>
  <si>
    <t>Mystic lava staff</t>
  </si>
  <si>
    <t>Mystic mist staff</t>
  </si>
  <si>
    <t>Mystic mud staff</t>
  </si>
  <si>
    <t>Mystic robe bottom</t>
  </si>
  <si>
    <t>Mystic robe bottom (dark)</t>
  </si>
  <si>
    <t>Mystic robe bottom (dusk)</t>
  </si>
  <si>
    <t>Mystic robe bottom (light)</t>
  </si>
  <si>
    <t>Mystic robe top</t>
  </si>
  <si>
    <t>Mystic robe top (dark)</t>
  </si>
  <si>
    <t>Mystic robe top (dusk)</t>
  </si>
  <si>
    <t>Mystic robe top (light)</t>
  </si>
  <si>
    <t>Mystic set (blue)</t>
  </si>
  <si>
    <t>Mystic set (dark)</t>
  </si>
  <si>
    <t>Mystic set (dusk)</t>
  </si>
  <si>
    <t>Mystic set (light)</t>
  </si>
  <si>
    <t>Mystic smoke staff</t>
  </si>
  <si>
    <t>Mystic steam staff</t>
  </si>
  <si>
    <t>Mystic water staff</t>
  </si>
  <si>
    <t>Nail beast nails</t>
  </si>
  <si>
    <t>Nardah teleport</t>
  </si>
  <si>
    <t>Narwhal horn</t>
  </si>
  <si>
    <t>Nasturtium seed</t>
  </si>
  <si>
    <t>Nasturtiums</t>
  </si>
  <si>
    <t>Nature impling jar</t>
  </si>
  <si>
    <t>Nature offerings</t>
  </si>
  <si>
    <t>Nature rune</t>
  </si>
  <si>
    <t>Nature talisman</t>
  </si>
  <si>
    <t>Nature tiara</t>
  </si>
  <si>
    <t>Navy cavalier</t>
  </si>
  <si>
    <t>Necklace mould</t>
  </si>
  <si>
    <t>Necklace of anguish</t>
  </si>
  <si>
    <t>Necklace of faith</t>
  </si>
  <si>
    <t>Necklace of passage(5)</t>
  </si>
  <si>
    <t>Needle</t>
  </si>
  <si>
    <t>Neitiznot shield</t>
  </si>
  <si>
    <t>Nice hedge (bagged)</t>
  </si>
  <si>
    <t>Nickel ore</t>
  </si>
  <si>
    <t>Nightmare staff</t>
  </si>
  <si>
    <t>Nihil horn</t>
  </si>
  <si>
    <t>Nihil shard</t>
  </si>
  <si>
    <t>Nimbleness charm</t>
  </si>
  <si>
    <t>Ninja impling jar</t>
  </si>
  <si>
    <t>Noose wand</t>
  </si>
  <si>
    <t>Nose peg</t>
  </si>
  <si>
    <t>Not meat</t>
  </si>
  <si>
    <t>Noxious halberd</t>
  </si>
  <si>
    <t>Numulite</t>
  </si>
  <si>
    <t>Nunchaku</t>
  </si>
  <si>
    <t>Oak armchair (flatpack)</t>
  </si>
  <si>
    <t>Oak armour case (flatpack)</t>
  </si>
  <si>
    <t>Oak bed (flatpack)</t>
  </si>
  <si>
    <t>Oak bench (flatpack)</t>
  </si>
  <si>
    <t>Oak bird house</t>
  </si>
  <si>
    <t>Oak blackjack(d)</t>
  </si>
  <si>
    <t>Oak blackjack(o)</t>
  </si>
  <si>
    <t>Oak bookcase (flatpack)</t>
  </si>
  <si>
    <t>Oak cape rack (flatpack)</t>
  </si>
  <si>
    <t>Oak chair (flatpack)</t>
  </si>
  <si>
    <t>Oak clock (flatpack)</t>
  </si>
  <si>
    <t>Oak dining table (flatpack)</t>
  </si>
  <si>
    <t>Oak drawers (flatpack)</t>
  </si>
  <si>
    <t>Oak dresser (flatpack)</t>
  </si>
  <si>
    <t>Oak fancy dress box (flatpack)</t>
  </si>
  <si>
    <t>Oak hull parts</t>
  </si>
  <si>
    <t>Oak kitchen table (flatpack)</t>
  </si>
  <si>
    <t>Oak leaves</t>
  </si>
  <si>
    <t>Oak logs</t>
  </si>
  <si>
    <t>Oak longbow</t>
  </si>
  <si>
    <t>Oak longbow (u)</t>
  </si>
  <si>
    <t>Oak magic wardrobe (flatpack)</t>
  </si>
  <si>
    <t>Oak plank</t>
  </si>
  <si>
    <t>Oak pyre logs</t>
  </si>
  <si>
    <t>Oak repair kit</t>
  </si>
  <si>
    <t>Oak roots</t>
  </si>
  <si>
    <t>Oak sapling</t>
  </si>
  <si>
    <t>Oak shaving stand (flatpack)</t>
  </si>
  <si>
    <t>Oak shield</t>
  </si>
  <si>
    <t>Oak shortbow</t>
  </si>
  <si>
    <t>Oak shortbow (u)</t>
  </si>
  <si>
    <t>Oak stock</t>
  </si>
  <si>
    <t>Oak toy box (flatpack)</t>
  </si>
  <si>
    <t>Oak treasure chest (flatpack)</t>
  </si>
  <si>
    <t>Oak wardrobe (flatpack)</t>
  </si>
  <si>
    <t>Oathplate armour set</t>
  </si>
  <si>
    <t>Oathplate chest</t>
  </si>
  <si>
    <t>Oathplate helm</t>
  </si>
  <si>
    <t>Oathplate legs</t>
  </si>
  <si>
    <t>Oathplate shards</t>
  </si>
  <si>
    <t>Obsidian armour set</t>
  </si>
  <si>
    <t>Obsidian cape</t>
  </si>
  <si>
    <t>Obsidian cape (r)</t>
  </si>
  <si>
    <t>Obsidian helmet</t>
  </si>
  <si>
    <t>Obsidian platebody</t>
  </si>
  <si>
    <t>Obsidian platelegs</t>
  </si>
  <si>
    <t>Occult necklace</t>
  </si>
  <si>
    <t>Occult ornament kit</t>
  </si>
  <si>
    <t>Ochre snelm</t>
  </si>
  <si>
    <t>Odium shard 1</t>
  </si>
  <si>
    <t>Odium shard 2</t>
  </si>
  <si>
    <t>Odium shard 3</t>
  </si>
  <si>
    <t>Odium ward</t>
  </si>
  <si>
    <t>Ogre arrow</t>
  </si>
  <si>
    <t>Ogre arrow shaft</t>
  </si>
  <si>
    <t>Ogre coffin key</t>
  </si>
  <si>
    <t>Oil lamp</t>
  </si>
  <si>
    <t>Oil lantern</t>
  </si>
  <si>
    <t>Oil lantern frame</t>
  </si>
  <si>
    <t>Old demon mask</t>
  </si>
  <si>
    <t>Old school bond</t>
  </si>
  <si>
    <t>Olive oil(1)</t>
  </si>
  <si>
    <t>Olive oil(2)</t>
  </si>
  <si>
    <t>Olive oil(3)</t>
  </si>
  <si>
    <t>Olive oil(4)</t>
  </si>
  <si>
    <t>Onion</t>
  </si>
  <si>
    <t>Onion &amp; tomato</t>
  </si>
  <si>
    <t>Onion seed</t>
  </si>
  <si>
    <t>Onions(10)</t>
  </si>
  <si>
    <t>Onyx</t>
  </si>
  <si>
    <t>Onyx amulet</t>
  </si>
  <si>
    <t>Onyx amulet (u)</t>
  </si>
  <si>
    <t>Onyx bolt tips</t>
  </si>
  <si>
    <t>Onyx bolts</t>
  </si>
  <si>
    <t>Onyx bolts (e)</t>
  </si>
  <si>
    <t>Onyx bracelet</t>
  </si>
  <si>
    <t>Onyx dragon bolts</t>
  </si>
  <si>
    <t>Onyx dragon bolts (e)</t>
  </si>
  <si>
    <t>Onyx necklace</t>
  </si>
  <si>
    <t>Onyx ring</t>
  </si>
  <si>
    <t>Opal</t>
  </si>
  <si>
    <t>Opal amulet</t>
  </si>
  <si>
    <t>Opal amulet (u)</t>
  </si>
  <si>
    <t>Opal bolt tips</t>
  </si>
  <si>
    <t>Opal bolts</t>
  </si>
  <si>
    <t>Opal bolts (e)</t>
  </si>
  <si>
    <t>Opal bracelet</t>
  </si>
  <si>
    <t>Opal dragon bolts</t>
  </si>
  <si>
    <t>Opal dragon bolts (e)</t>
  </si>
  <si>
    <t>Opal machete</t>
  </si>
  <si>
    <t>Opal necklace</t>
  </si>
  <si>
    <t>Opal ring</t>
  </si>
  <si>
    <t>Opulent table (flatpack)</t>
  </si>
  <si>
    <t>Orange</t>
  </si>
  <si>
    <t>Orange boater</t>
  </si>
  <si>
    <t>Orange cape</t>
  </si>
  <si>
    <t>Orange chunks</t>
  </si>
  <si>
    <t>Orange dye</t>
  </si>
  <si>
    <t>Orange feather</t>
  </si>
  <si>
    <t>Orange flowers</t>
  </si>
  <si>
    <t>Orange salamander</t>
  </si>
  <si>
    <t>Orange sapling</t>
  </si>
  <si>
    <t>Orange slices</t>
  </si>
  <si>
    <t>Orange tree seed</t>
  </si>
  <si>
    <t>Oranges(5)</t>
  </si>
  <si>
    <t>Ornate maul handle</t>
  </si>
  <si>
    <t>Osman's report</t>
  </si>
  <si>
    <t>Osmumten's fang</t>
  </si>
  <si>
    <t>Ourania teleport (tablet)</t>
  </si>
  <si>
    <t>Ourg bones</t>
  </si>
  <si>
    <t>Oyster</t>
  </si>
  <si>
    <t>Oyster pearl</t>
  </si>
  <si>
    <t>Oyster pearls</t>
  </si>
  <si>
    <t>Paddewwa teleport (tablet)</t>
  </si>
  <si>
    <t>Palm sapling</t>
  </si>
  <si>
    <t>Palm tree seed</t>
  </si>
  <si>
    <t>Pantaloons</t>
  </si>
  <si>
    <t>Papaya fruit</t>
  </si>
  <si>
    <t>Papaya sapling</t>
  </si>
  <si>
    <t>Papaya tree seed</t>
  </si>
  <si>
    <t>Papyrus</t>
  </si>
  <si>
    <t>Partyhat &amp; specs</t>
  </si>
  <si>
    <t>Partyhat set</t>
  </si>
  <si>
    <t>Pastry dough</t>
  </si>
  <si>
    <t>Pat of butter</t>
  </si>
  <si>
    <t>Peaceful blessing</t>
  </si>
  <si>
    <t>Pearl bolt tips</t>
  </si>
  <si>
    <t>Pearl bolts</t>
  </si>
  <si>
    <t>Pearl bolts (e)</t>
  </si>
  <si>
    <t>Pearl dragon bolts</t>
  </si>
  <si>
    <t>Pearl dragon bolts (e)</t>
  </si>
  <si>
    <t>Pegasian boots</t>
  </si>
  <si>
    <t>Pegasian crystal</t>
  </si>
  <si>
    <t>Penguin mask</t>
  </si>
  <si>
    <t>Perfected quetzal whistle blueprint</t>
  </si>
  <si>
    <t>Pest control teleport</t>
  </si>
  <si>
    <t>Pestle and mortar</t>
  </si>
  <si>
    <t>Pharaoh's sceptre (uncharged)</t>
  </si>
  <si>
    <t>Phoenix necklace</t>
  </si>
  <si>
    <t>Phrin remains</t>
  </si>
  <si>
    <t>Pie dish</t>
  </si>
  <si>
    <t>Pie recipe book</t>
  </si>
  <si>
    <t>Pie shell</t>
  </si>
  <si>
    <t>Pike</t>
  </si>
  <si>
    <t>Pile of salt</t>
  </si>
  <si>
    <t>Pillar coral</t>
  </si>
  <si>
    <t>Pillar frag</t>
  </si>
  <si>
    <t>Pineapple</t>
  </si>
  <si>
    <t>Pineapple chunks</t>
  </si>
  <si>
    <t>Pineapple pizza</t>
  </si>
  <si>
    <t>Pineapple punch</t>
  </si>
  <si>
    <t>Pineapple ring</t>
  </si>
  <si>
    <t>Pineapple sapling</t>
  </si>
  <si>
    <t>Pineapple seed</t>
  </si>
  <si>
    <t>Pink boater</t>
  </si>
  <si>
    <t>Pink boots</t>
  </si>
  <si>
    <t>Pink cape</t>
  </si>
  <si>
    <t>Pink elegant blouse</t>
  </si>
  <si>
    <t>Pink elegant legs</t>
  </si>
  <si>
    <t>Pink elegant shirt</t>
  </si>
  <si>
    <t>Pink elegant skirt</t>
  </si>
  <si>
    <t>Pink hat</t>
  </si>
  <si>
    <t>Pink headband</t>
  </si>
  <si>
    <t>Pink robe bottoms</t>
  </si>
  <si>
    <t>Pink robe top</t>
  </si>
  <si>
    <t>Pink skirt</t>
  </si>
  <si>
    <t>Pirate bandana (blue)</t>
  </si>
  <si>
    <t>Pirate bandana (brown)</t>
  </si>
  <si>
    <t>Pirate bandana (red)</t>
  </si>
  <si>
    <t>Pirate bandana (white)</t>
  </si>
  <si>
    <t>Pirate boots</t>
  </si>
  <si>
    <t>Pirate hat &amp; patch</t>
  </si>
  <si>
    <t>Pirate leggings (beige)</t>
  </si>
  <si>
    <t>Pirate leggings (blue)</t>
  </si>
  <si>
    <t>Pirate leggings (brown)</t>
  </si>
  <si>
    <t>Pirate leggings (red)</t>
  </si>
  <si>
    <t>Pirate's hat</t>
  </si>
  <si>
    <t>Pirate's hook</t>
  </si>
  <si>
    <t>Piscarilius banner</t>
  </si>
  <si>
    <t>Piscarilius hood</t>
  </si>
  <si>
    <t>Piscarilius scarf</t>
  </si>
  <si>
    <t>Piscatoris teleport</t>
  </si>
  <si>
    <t>Pith helmet</t>
  </si>
  <si>
    <t>Pitta bread</t>
  </si>
  <si>
    <t>Pizza base</t>
  </si>
  <si>
    <t>Plain pizza</t>
  </si>
  <si>
    <t>Plank</t>
  </si>
  <si>
    <t>Plant cure</t>
  </si>
  <si>
    <t>Pointed blood'n'tar snelm</t>
  </si>
  <si>
    <t>Pointed bruise blue snelm</t>
  </si>
  <si>
    <t>Pointed myre snelm</t>
  </si>
  <si>
    <t>Pointed ochre snelm</t>
  </si>
  <si>
    <t>Poison (item)</t>
  </si>
  <si>
    <t>Poison chalice</t>
  </si>
  <si>
    <t>Poison ivy berries</t>
  </si>
  <si>
    <t>Poison ivy seed</t>
  </si>
  <si>
    <t>Polar camo legs</t>
  </si>
  <si>
    <t>Polar camo legs (equipped)</t>
  </si>
  <si>
    <t>Polar camo top</t>
  </si>
  <si>
    <t>Polar camo top (equipped)</t>
  </si>
  <si>
    <t>Polar kebbit fur</t>
  </si>
  <si>
    <t>Polished buttons</t>
  </si>
  <si>
    <t>Pot lid</t>
  </si>
  <si>
    <t>Pot of cornflour</t>
  </si>
  <si>
    <t>Pot of cream</t>
  </si>
  <si>
    <t>Pot of flour</t>
  </si>
  <si>
    <t>Potato</t>
  </si>
  <si>
    <t>Potato cactus seed</t>
  </si>
  <si>
    <t>Potato seed</t>
  </si>
  <si>
    <t>Potato with butter</t>
  </si>
  <si>
    <t>Potato with cheese</t>
  </si>
  <si>
    <t>Potatoes(10)</t>
  </si>
  <si>
    <t>Pottery scarab</t>
  </si>
  <si>
    <t>Pottery statuette</t>
  </si>
  <si>
    <t>Prayer mix(1)</t>
  </si>
  <si>
    <t>Prayer mix(2)</t>
  </si>
  <si>
    <t>Prayer potion(1)</t>
  </si>
  <si>
    <t>Prayer potion(2)</t>
  </si>
  <si>
    <t>Prayer potion(3)</t>
  </si>
  <si>
    <t>Prayer potion(4)</t>
  </si>
  <si>
    <t>Prayer regeneration potion(1)</t>
  </si>
  <si>
    <t>Prayer regeneration potion(2)</t>
  </si>
  <si>
    <t>Prayer regeneration potion(3)</t>
  </si>
  <si>
    <t>Prayer regeneration potion(4)</t>
  </si>
  <si>
    <t>Premade blurb' sp.</t>
  </si>
  <si>
    <t>Premade c+t batta</t>
  </si>
  <si>
    <t>Premade ch' crunch</t>
  </si>
  <si>
    <t>Premade choc bomb</t>
  </si>
  <si>
    <t>Premade choc s'dy</t>
  </si>
  <si>
    <t>Premade dr' dragon</t>
  </si>
  <si>
    <t>Premade fr' blast</t>
  </si>
  <si>
    <t>Premade fr't batta</t>
  </si>
  <si>
    <t>Premade p' punch</t>
  </si>
  <si>
    <t>Premade s'y crunch</t>
  </si>
  <si>
    <t>Premade sgg</t>
  </si>
  <si>
    <t>Premade t'd batta</t>
  </si>
  <si>
    <t>Premade t'd crunch</t>
  </si>
  <si>
    <t>Premade ttl</t>
  </si>
  <si>
    <t>Premade veg ball</t>
  </si>
  <si>
    <t>Premade veg batta</t>
  </si>
  <si>
    <t>Premade w'm batta</t>
  </si>
  <si>
    <t>Premade w'm crun'</t>
  </si>
  <si>
    <t>Premade wiz blz'd</t>
  </si>
  <si>
    <t>Premade worm hole</t>
  </si>
  <si>
    <t>Priest gown (bottom)</t>
  </si>
  <si>
    <t>Priest gown (top)</t>
  </si>
  <si>
    <t>Primordial boots</t>
  </si>
  <si>
    <t>Primordial crystal</t>
  </si>
  <si>
    <t>Proboscis</t>
  </si>
  <si>
    <t>Proselyte cuisse</t>
  </si>
  <si>
    <t>Proselyte harness f</t>
  </si>
  <si>
    <t>Proselyte harness m</t>
  </si>
  <si>
    <t>Proselyte hauberk</t>
  </si>
  <si>
    <t>Proselyte sallet</t>
  </si>
  <si>
    <t>Proselyte tasset</t>
  </si>
  <si>
    <t>Pumpkin</t>
  </si>
  <si>
    <t>Pure essence</t>
  </si>
  <si>
    <t>Purple boater</t>
  </si>
  <si>
    <t>Purple boots</t>
  </si>
  <si>
    <t>Purple cape</t>
  </si>
  <si>
    <t>Purple dye</t>
  </si>
  <si>
    <t>Purple elegant blouse</t>
  </si>
  <si>
    <t>Purple elegant legs</t>
  </si>
  <si>
    <t>Purple elegant shirt</t>
  </si>
  <si>
    <t>Purple elegant skirt</t>
  </si>
  <si>
    <t>Purple firelighter</t>
  </si>
  <si>
    <t>Purple flowers</t>
  </si>
  <si>
    <t>Purple gloves</t>
  </si>
  <si>
    <t>Purple hat</t>
  </si>
  <si>
    <t>Purple partyhat</t>
  </si>
  <si>
    <t>Purple robe bottoms</t>
  </si>
  <si>
    <t>Purple robe top</t>
  </si>
  <si>
    <t>Purple sweets</t>
  </si>
  <si>
    <t>Pyre logs</t>
  </si>
  <si>
    <t>Pyrophosphite</t>
  </si>
  <si>
    <t>Quetzal feed</t>
  </si>
  <si>
    <t>Rabbit foot</t>
  </si>
  <si>
    <t>Rabbit snare</t>
  </si>
  <si>
    <t>Raging echoes banner</t>
  </si>
  <si>
    <t>Raging echoes boots (t1)</t>
  </si>
  <si>
    <t>Raging echoes boots (t2)</t>
  </si>
  <si>
    <t>Raging echoes boots (t3)</t>
  </si>
  <si>
    <t>Raging echoes cane</t>
  </si>
  <si>
    <t>Raging echoes curtains</t>
  </si>
  <si>
    <t>Raging echoes death scroll</t>
  </si>
  <si>
    <t>Raging echoes hat (t1)</t>
  </si>
  <si>
    <t>Raging echoes hat (t2)</t>
  </si>
  <si>
    <t>Raging echoes hat (t3)</t>
  </si>
  <si>
    <t>Raging echoes nexus scroll</t>
  </si>
  <si>
    <t>Raging echoes npc contact scroll</t>
  </si>
  <si>
    <t>Raging echoes portal scroll</t>
  </si>
  <si>
    <t>Raging echoes relic hunter (t1) armour set</t>
  </si>
  <si>
    <t>Raging echoes relic hunter (t2) armour set</t>
  </si>
  <si>
    <t>Raging echoes relic hunter (t3) armour set</t>
  </si>
  <si>
    <t>Raging echoes robeskirt (t1)</t>
  </si>
  <si>
    <t>Raging echoes robeskirt (t2)</t>
  </si>
  <si>
    <t>Raging echoes robeskirt (t3)</t>
  </si>
  <si>
    <t>Raging echoes rug</t>
  </si>
  <si>
    <t>Raging echoes scrying pool scroll</t>
  </si>
  <si>
    <t>Raging echoes spirit tree scroll</t>
  </si>
  <si>
    <t>Raging echoes top (t1)</t>
  </si>
  <si>
    <t>Raging echoes top (t2)</t>
  </si>
  <si>
    <t>Raging echoes top (t3)</t>
  </si>
  <si>
    <t>Rain bow</t>
  </si>
  <si>
    <t>Rainbow crab (1)</t>
  </si>
  <si>
    <t>Rainbow crab (2)</t>
  </si>
  <si>
    <t>Rainbow crab (3)</t>
  </si>
  <si>
    <t>Rainbow crab meat</t>
  </si>
  <si>
    <t>Rainbow fish</t>
  </si>
  <si>
    <t>Rake</t>
  </si>
  <si>
    <t>Ranarr seed</t>
  </si>
  <si>
    <t>Ranarr weed</t>
  </si>
  <si>
    <t>Ranger boots</t>
  </si>
  <si>
    <t>Ranger gloves</t>
  </si>
  <si>
    <t>Rangers' tights</t>
  </si>
  <si>
    <t>Rangers' tunic</t>
  </si>
  <si>
    <t>Ranging mix(1)</t>
  </si>
  <si>
    <t>Ranging mix(2)</t>
  </si>
  <si>
    <t>Ranging potion(1)</t>
  </si>
  <si>
    <t>Ranging potion(2)</t>
  </si>
  <si>
    <t>Raurg bones</t>
  </si>
  <si>
    <t>Raw admiral pie</t>
  </si>
  <si>
    <t>Raw anchovies</t>
  </si>
  <si>
    <t>Raw anglerfish</t>
  </si>
  <si>
    <t>Raw barb-tailed kebbit</t>
  </si>
  <si>
    <t>Raw bass</t>
  </si>
  <si>
    <t>Raw bear meat</t>
  </si>
  <si>
    <t>Raw beast meat</t>
  </si>
  <si>
    <t>Raw beef</t>
  </si>
  <si>
    <t>Raw bird meat</t>
  </si>
  <si>
    <t>Raw blue crab meat</t>
  </si>
  <si>
    <t>Raw bluefin</t>
  </si>
  <si>
    <t>Raw boar meat</t>
  </si>
  <si>
    <t>Raw cave eel</t>
  </si>
  <si>
    <t>Raw chicken</t>
  </si>
  <si>
    <t>Raw chompy</t>
  </si>
  <si>
    <t>Raw cod</t>
  </si>
  <si>
    <t>Raw dark crab</t>
  </si>
  <si>
    <t>Raw dashing kebbit</t>
  </si>
  <si>
    <t>Raw fish pie</t>
  </si>
  <si>
    <t>Raw garden pie</t>
  </si>
  <si>
    <t>Raw giant krill</t>
  </si>
  <si>
    <t>Raw graahk</t>
  </si>
  <si>
    <t>Raw haddock</t>
  </si>
  <si>
    <t>Raw halibut</t>
  </si>
  <si>
    <t>Raw herring</t>
  </si>
  <si>
    <t>Raw jubbly</t>
  </si>
  <si>
    <t>Raw jumbo squid</t>
  </si>
  <si>
    <t>Raw karambwan</t>
  </si>
  <si>
    <t>Raw kyatt</t>
  </si>
  <si>
    <t>Raw larupia</t>
  </si>
  <si>
    <t>Raw lobster</t>
  </si>
  <si>
    <t>Raw mackerel</t>
  </si>
  <si>
    <t>Raw manta ray</t>
  </si>
  <si>
    <t>Raw marlin</t>
  </si>
  <si>
    <t>Raw monkfish</t>
  </si>
  <si>
    <t>Raw moonlight antelope</t>
  </si>
  <si>
    <t>Raw mud pie</t>
  </si>
  <si>
    <t>Raw mystery meat</t>
  </si>
  <si>
    <t>Raw oomlie</t>
  </si>
  <si>
    <t>Raw pike</t>
  </si>
  <si>
    <t>Raw pyre fox</t>
  </si>
  <si>
    <t>Raw rabbit</t>
  </si>
  <si>
    <t>Raw rainbow crab meat</t>
  </si>
  <si>
    <t>Raw rainbow fish</t>
  </si>
  <si>
    <t>Raw rat meat</t>
  </si>
  <si>
    <t>Raw red crab meat</t>
  </si>
  <si>
    <t>Raw salmon</t>
  </si>
  <si>
    <t>Raw sardine</t>
  </si>
  <si>
    <t>Raw sea turtle</t>
  </si>
  <si>
    <t>Raw shark</t>
  </si>
  <si>
    <t>Raw shrimps</t>
  </si>
  <si>
    <t>Raw slimy eel</t>
  </si>
  <si>
    <t>Raw summer pie</t>
  </si>
  <si>
    <t>Raw sunlight antelope</t>
  </si>
  <si>
    <t>Raw swordfish</t>
  </si>
  <si>
    <t>Raw swordtip squid</t>
  </si>
  <si>
    <t>Raw trout</t>
  </si>
  <si>
    <t>Raw tuna</t>
  </si>
  <si>
    <t>Raw ugthanki meat</t>
  </si>
  <si>
    <t>Raw wild kebbit</t>
  </si>
  <si>
    <t>Raw wild pie</t>
  </si>
  <si>
    <t>Raw yak meat</t>
  </si>
  <si>
    <t>Raw yellowfin</t>
  </si>
  <si>
    <t>Ray barbs</t>
  </si>
  <si>
    <t>Red bead</t>
  </si>
  <si>
    <t>Red beret</t>
  </si>
  <si>
    <t>Red boater</t>
  </si>
  <si>
    <t>Red boots</t>
  </si>
  <si>
    <t>Red cape</t>
  </si>
  <si>
    <t>Red cavalier</t>
  </si>
  <si>
    <t>Red chinchompa</t>
  </si>
  <si>
    <t>Red crab</t>
  </si>
  <si>
    <t>Red crab meat</t>
  </si>
  <si>
    <t>Red d'hide body</t>
  </si>
  <si>
    <t>Red d'hide body (g)</t>
  </si>
  <si>
    <t>Red d'hide body (t)</t>
  </si>
  <si>
    <t>Red d'hide chaps</t>
  </si>
  <si>
    <t>Red d'hide chaps (g)</t>
  </si>
  <si>
    <t>Red d'hide chaps (t)</t>
  </si>
  <si>
    <t>Red d'hide shield</t>
  </si>
  <si>
    <t>Red d'hide vambraces</t>
  </si>
  <si>
    <t>Red dragon leather</t>
  </si>
  <si>
    <t>Red dragon mask</t>
  </si>
  <si>
    <t>Red dragonhide</t>
  </si>
  <si>
    <t>Red dragonhide set</t>
  </si>
  <si>
    <t>Red dye</t>
  </si>
  <si>
    <t>Red elegant blouse</t>
  </si>
  <si>
    <t>Red elegant legs</t>
  </si>
  <si>
    <t>Red elegant shirt</t>
  </si>
  <si>
    <t>Red elegant skirt</t>
  </si>
  <si>
    <t>Red feather</t>
  </si>
  <si>
    <t>Red firelighter</t>
  </si>
  <si>
    <t>Red flowers</t>
  </si>
  <si>
    <t>Red gloves</t>
  </si>
  <si>
    <t>Red halloween mask</t>
  </si>
  <si>
    <t>Red hat</t>
  </si>
  <si>
    <t>Red headband</t>
  </si>
  <si>
    <t>Red partyhat</t>
  </si>
  <si>
    <t>Red robe bottoms</t>
  </si>
  <si>
    <t>Red robe top</t>
  </si>
  <si>
    <t>Red salamander</t>
  </si>
  <si>
    <t>Red spiky vambraces</t>
  </si>
  <si>
    <t>Red topaz</t>
  </si>
  <si>
    <t>Red topaz machete</t>
  </si>
  <si>
    <t>Redberries</t>
  </si>
  <si>
    <t>Redberry pie</t>
  </si>
  <si>
    <t>Redberry seed</t>
  </si>
  <si>
    <t>Redwood bird house</t>
  </si>
  <si>
    <t>Redwood hiking staff</t>
  </si>
  <si>
    <t>Redwood logs</t>
  </si>
  <si>
    <t>Redwood pyre logs</t>
  </si>
  <si>
    <t>Redwood sapling</t>
  </si>
  <si>
    <t>Redwood shield</t>
  </si>
  <si>
    <t>Redwood tree seed</t>
  </si>
  <si>
    <t>Regen bracelet</t>
  </si>
  <si>
    <t>Relicym's balm(1)</t>
  </si>
  <si>
    <t>Relicym's balm(2)</t>
  </si>
  <si>
    <t>Relicym's balm(3)</t>
  </si>
  <si>
    <t>Relicym's balm(4)</t>
  </si>
  <si>
    <t>Relicym's mix(1)</t>
  </si>
  <si>
    <t>Relicym's mix(2)</t>
  </si>
  <si>
    <t>Repair kit</t>
  </si>
  <si>
    <t>Restore mix(1)</t>
  </si>
  <si>
    <t>Restore mix(2)</t>
  </si>
  <si>
    <t>Restore potion(1)</t>
  </si>
  <si>
    <t>Restore potion(2)</t>
  </si>
  <si>
    <t>Restore potion(4)</t>
  </si>
  <si>
    <t>Revenant cave teleport</t>
  </si>
  <si>
    <t>Revenant ether</t>
  </si>
  <si>
    <t>Ribcage piece</t>
  </si>
  <si>
    <t>Right eye patch</t>
  </si>
  <si>
    <t>Ring mould</t>
  </si>
  <si>
    <t>Ring of 3rd age</t>
  </si>
  <si>
    <t>Ring of coins</t>
  </si>
  <si>
    <t>Ring of dueling(8)</t>
  </si>
  <si>
    <t>Ring of endurance (uncharged)</t>
  </si>
  <si>
    <t>Ring of forging</t>
  </si>
  <si>
    <t>Ring of life</t>
  </si>
  <si>
    <t>Ring of nature</t>
  </si>
  <si>
    <t>Ring of pursuit</t>
  </si>
  <si>
    <t>Ring of recoil</t>
  </si>
  <si>
    <t>Ring of returning(5)</t>
  </si>
  <si>
    <t>Ring of stone</t>
  </si>
  <si>
    <t>Ring of suffering</t>
  </si>
  <si>
    <t>Ring of the elements</t>
  </si>
  <si>
    <t>Ring of the gods</t>
  </si>
  <si>
    <t>Ring of wealth</t>
  </si>
  <si>
    <t>Ring of wealth (5)</t>
  </si>
  <si>
    <t>Ring of wealth scroll</t>
  </si>
  <si>
    <t>Ritual mulch</t>
  </si>
  <si>
    <t>Riyl remains</t>
  </si>
  <si>
    <t>Roast beast meat</t>
  </si>
  <si>
    <t>Roast bird meat</t>
  </si>
  <si>
    <t>Roast rabbit</t>
  </si>
  <si>
    <t>Robe bottom of darkness</t>
  </si>
  <si>
    <t>Robe top of darkness</t>
  </si>
  <si>
    <t>Robin hood hat</t>
  </si>
  <si>
    <t>Rock hammer</t>
  </si>
  <si>
    <t>Rock thrownhammer</t>
  </si>
  <si>
    <t>Rock-climbing boots</t>
  </si>
  <si>
    <t>Rock-shell armour set</t>
  </si>
  <si>
    <t>Rock-shell boots</t>
  </si>
  <si>
    <t>Rock-shell chunk</t>
  </si>
  <si>
    <t>Rock-shell gloves</t>
  </si>
  <si>
    <t>Rock-shell helm</t>
  </si>
  <si>
    <t>Rock-shell legs</t>
  </si>
  <si>
    <t>Rock-shell plate</t>
  </si>
  <si>
    <t>Rock-shell shard</t>
  </si>
  <si>
    <t>Rock-shell splinter</t>
  </si>
  <si>
    <t>Rocking chair (flatpack)</t>
  </si>
  <si>
    <t>Roe</t>
  </si>
  <si>
    <t>Rolling pin</t>
  </si>
  <si>
    <t>Rope</t>
  </si>
  <si>
    <t>Rosemary</t>
  </si>
  <si>
    <t>Rosemary seed</t>
  </si>
  <si>
    <t>Rosewood blowpipe (empty)</t>
  </si>
  <si>
    <t>Rosewood hull parts</t>
  </si>
  <si>
    <t>Rosewood logs</t>
  </si>
  <si>
    <t>Rosewood plank</t>
  </si>
  <si>
    <t>Rosewood pyre logs</t>
  </si>
  <si>
    <t>Rosewood repair kit</t>
  </si>
  <si>
    <t>Rosewood sapling</t>
  </si>
  <si>
    <t>Rosewood seed</t>
  </si>
  <si>
    <t>Royal crown</t>
  </si>
  <si>
    <t>Royal gown bottom</t>
  </si>
  <si>
    <t>Royal gown top</t>
  </si>
  <si>
    <t>Royal sceptre</t>
  </si>
  <si>
    <t>Ruby</t>
  </si>
  <si>
    <t>Ruby amulet</t>
  </si>
  <si>
    <t>Ruby amulet (u)</t>
  </si>
  <si>
    <t>Ruby bolt tips</t>
  </si>
  <si>
    <t>Ruby bolts</t>
  </si>
  <si>
    <t>Ruby bolts (e)</t>
  </si>
  <si>
    <t>Ruby bracelet</t>
  </si>
  <si>
    <t>Ruby dragon bolts</t>
  </si>
  <si>
    <t>Ruby dragon bolts (e)</t>
  </si>
  <si>
    <t>Ruby harvest (item)</t>
  </si>
  <si>
    <t>Ruby harvest mix (1)</t>
  </si>
  <si>
    <t>Ruby harvest mix (2)</t>
  </si>
  <si>
    <t>Ruby necklace</t>
  </si>
  <si>
    <t>Ruby ring</t>
  </si>
  <si>
    <t>Rum</t>
  </si>
  <si>
    <t>Rum (blue)</t>
  </si>
  <si>
    <t>Rum (red)</t>
  </si>
  <si>
    <t>Rune 2h sword</t>
  </si>
  <si>
    <t>Rune armour set (lg)</t>
  </si>
  <si>
    <t>Rune armour set (sk)</t>
  </si>
  <si>
    <t>Rune arrow</t>
  </si>
  <si>
    <t>Rune arrow(p)</t>
  </si>
  <si>
    <t>Rune arrow(p+)</t>
  </si>
  <si>
    <t>Rune arrow(p++)</t>
  </si>
  <si>
    <t>Rune arrowtips</t>
  </si>
  <si>
    <t>Rune axe</t>
  </si>
  <si>
    <t>Rune battleaxe</t>
  </si>
  <si>
    <t>Rune boots</t>
  </si>
  <si>
    <t>Rune brutal</t>
  </si>
  <si>
    <t>Rune cane</t>
  </si>
  <si>
    <t>Rune cannonball</t>
  </si>
  <si>
    <t>Rune chainbody</t>
  </si>
  <si>
    <t>Rune claws</t>
  </si>
  <si>
    <t>Rune crossbow</t>
  </si>
  <si>
    <t>Rune dagger</t>
  </si>
  <si>
    <t>Rune dagger(p)</t>
  </si>
  <si>
    <t>Rune dagger(p+)</t>
  </si>
  <si>
    <t>Rune dagger(p++)</t>
  </si>
  <si>
    <t>Rune dart</t>
  </si>
  <si>
    <t>Rune dart tip</t>
  </si>
  <si>
    <t>Rune dart(p)</t>
  </si>
  <si>
    <t>Rune dart(p+)</t>
  </si>
  <si>
    <t>Rune dart(p++)</t>
  </si>
  <si>
    <t>Rune defender ornament kit</t>
  </si>
  <si>
    <t>Rune dragon mask</t>
  </si>
  <si>
    <t>Rune essence</t>
  </si>
  <si>
    <t>Rune felling axe</t>
  </si>
  <si>
    <t>Rune full helm</t>
  </si>
  <si>
    <t>Rune full helm (g)</t>
  </si>
  <si>
    <t>Rune full helm (t)</t>
  </si>
  <si>
    <t>Rune gold-trimmed set (lg)</t>
  </si>
  <si>
    <t>Rune gold-trimmed set (sk)</t>
  </si>
  <si>
    <t>Rune halberd</t>
  </si>
  <si>
    <t>Rune hasta</t>
  </si>
  <si>
    <t>Rune hasta(p)</t>
  </si>
  <si>
    <t>Rune hasta(p+)</t>
  </si>
  <si>
    <t>Rune hasta(p++)</t>
  </si>
  <si>
    <t>Rune helm (h1)</t>
  </si>
  <si>
    <t>Rune helm (h2)</t>
  </si>
  <si>
    <t>Rune helm (h3)</t>
  </si>
  <si>
    <t>Rune helm (h4)</t>
  </si>
  <si>
    <t>Rune helm (h5)</t>
  </si>
  <si>
    <t>Rune javelin</t>
  </si>
  <si>
    <t>Rune javelin tips</t>
  </si>
  <si>
    <t>Rune javelin(p)</t>
  </si>
  <si>
    <t>Rune javelin(p+)</t>
  </si>
  <si>
    <t>Rune javelin(p++)</t>
  </si>
  <si>
    <t>Rune keel parts</t>
  </si>
  <si>
    <t>Rune kiteshield</t>
  </si>
  <si>
    <t>Rune kiteshield (g)</t>
  </si>
  <si>
    <t>Rune kiteshield (t)</t>
  </si>
  <si>
    <t>Rune knife</t>
  </si>
  <si>
    <t>Rune knife(p)</t>
  </si>
  <si>
    <t>Rune knife(p+)</t>
  </si>
  <si>
    <t>Rune knife(p++)</t>
  </si>
  <si>
    <t>Rune longsword</t>
  </si>
  <si>
    <t>Rune mace</t>
  </si>
  <si>
    <t>Rune med helm</t>
  </si>
  <si>
    <t>Rune nails</t>
  </si>
  <si>
    <t>Rune pickaxe</t>
  </si>
  <si>
    <t>Rune platebody</t>
  </si>
  <si>
    <t>Rune platebody (g)</t>
  </si>
  <si>
    <t>Rune platebody (h1)</t>
  </si>
  <si>
    <t>Rune platebody (h2)</t>
  </si>
  <si>
    <t>Rune platebody (h3)</t>
  </si>
  <si>
    <t>Rune platebody (h4)</t>
  </si>
  <si>
    <t>Rune platebody (h5)</t>
  </si>
  <si>
    <t>Rune platebody (t)</t>
  </si>
  <si>
    <t>Rune platelegs</t>
  </si>
  <si>
    <t>Rune platelegs (g)</t>
  </si>
  <si>
    <t>Rune platelegs (t)</t>
  </si>
  <si>
    <t>Rune plateskirt</t>
  </si>
  <si>
    <t>Rune plateskirt (g)</t>
  </si>
  <si>
    <t>Rune plateskirt (t)</t>
  </si>
  <si>
    <t>Rune pouch note</t>
  </si>
  <si>
    <t>Rune scimitar</t>
  </si>
  <si>
    <t>Rune scimitar ornament kit (guthix)</t>
  </si>
  <si>
    <t>Rune scimitar ornament kit (saradomin)</t>
  </si>
  <si>
    <t>Rune scimitar ornament kit (zamorak)</t>
  </si>
  <si>
    <t>Rune shield (h1)</t>
  </si>
  <si>
    <t>Rune shield (h2)</t>
  </si>
  <si>
    <t>Rune shield (h3)</t>
  </si>
  <si>
    <t>Rune shield (h4)</t>
  </si>
  <si>
    <t>Rune shield (h5)</t>
  </si>
  <si>
    <t>Rune spear</t>
  </si>
  <si>
    <t>Rune spear(p)</t>
  </si>
  <si>
    <t>Rune spear(p+)</t>
  </si>
  <si>
    <t>Rune spear(p++)</t>
  </si>
  <si>
    <t>Rune sq shield</t>
  </si>
  <si>
    <t>Rune sword</t>
  </si>
  <si>
    <t>Rune thrownaxe</t>
  </si>
  <si>
    <t>Rune trimmed set (lg)</t>
  </si>
  <si>
    <t>Rune trimmed set (sk)</t>
  </si>
  <si>
    <t>Rune warhammer</t>
  </si>
  <si>
    <t>Runescroll of bloodbark</t>
  </si>
  <si>
    <t>Runescroll of swampbark</t>
  </si>
  <si>
    <t>Runite bar</t>
  </si>
  <si>
    <t>Runite bolts</t>
  </si>
  <si>
    <t>Runite bolts (p)</t>
  </si>
  <si>
    <t>Runite bolts (p+)</t>
  </si>
  <si>
    <t>Runite bolts (p++)</t>
  </si>
  <si>
    <t>Runite bolts (unf)</t>
  </si>
  <si>
    <t>Runite crossbow (u)</t>
  </si>
  <si>
    <t>Runite limbs</t>
  </si>
  <si>
    <t>Runite ore</t>
  </si>
  <si>
    <t>Sacred oil(1)</t>
  </si>
  <si>
    <t>Sacred oil(2)</t>
  </si>
  <si>
    <t>Sacred oil(3)</t>
  </si>
  <si>
    <t>Sacred oil(4)</t>
  </si>
  <si>
    <t>Sagacious spectacles</t>
  </si>
  <si>
    <t>Sailor's mirage</t>
  </si>
  <si>
    <t>Salmon</t>
  </si>
  <si>
    <t>Saltpetre</t>
  </si>
  <si>
    <t>Salve graveyard teleport (tablet)</t>
  </si>
  <si>
    <t>Salvor's paint</t>
  </si>
  <si>
    <t>Samurai boots</t>
  </si>
  <si>
    <t>Samurai gloves</t>
  </si>
  <si>
    <t>Samurai greaves</t>
  </si>
  <si>
    <t>Samurai kasa</t>
  </si>
  <si>
    <t>Samurai shirt</t>
  </si>
  <si>
    <t>Sandstone (10kg)</t>
  </si>
  <si>
    <t>Sandstone (1kg)</t>
  </si>
  <si>
    <t>Sandstone (2kg)</t>
  </si>
  <si>
    <t>Sandstone (5kg)</t>
  </si>
  <si>
    <t>Sandwich lady bottom</t>
  </si>
  <si>
    <t>Sandwich lady hat</t>
  </si>
  <si>
    <t>Sandwich lady top</t>
  </si>
  <si>
    <t>Sandworms</t>
  </si>
  <si>
    <t>Sanfew serum(1)</t>
  </si>
  <si>
    <t>Sanfew serum(2)</t>
  </si>
  <si>
    <t>Sanfew serum(3)</t>
  </si>
  <si>
    <t>Sanfew serum(4)</t>
  </si>
  <si>
    <t>Sanguinesti staff (uncharged)</t>
  </si>
  <si>
    <t>Santa hat</t>
  </si>
  <si>
    <t>Sapphire</t>
  </si>
  <si>
    <t>Sapphire amulet</t>
  </si>
  <si>
    <t>Sapphire amulet (u)</t>
  </si>
  <si>
    <t>Sapphire bolt tips</t>
  </si>
  <si>
    <t>Sapphire bolts</t>
  </si>
  <si>
    <t>Sapphire bolts (e)</t>
  </si>
  <si>
    <t>Sapphire bracelet</t>
  </si>
  <si>
    <t>Sapphire dragon bolts</t>
  </si>
  <si>
    <t>Sapphire dragon bolts (e)</t>
  </si>
  <si>
    <t>Sapphire glacialis (item)</t>
  </si>
  <si>
    <t>Sapphire glacialis mix (1)</t>
  </si>
  <si>
    <t>Sapphire glacialis mix (2)</t>
  </si>
  <si>
    <t>Sapphire necklace</t>
  </si>
  <si>
    <t>Sapphire ring</t>
  </si>
  <si>
    <t>Sarachnis cudgel</t>
  </si>
  <si>
    <t>Saradomin armour set (lg)</t>
  </si>
  <si>
    <t>Saradomin armour set (sk)</t>
  </si>
  <si>
    <t>Saradomin bracers</t>
  </si>
  <si>
    <t>Saradomin brew(1)</t>
  </si>
  <si>
    <t>Saradomin brew(2)</t>
  </si>
  <si>
    <t>Saradomin brew(3)</t>
  </si>
  <si>
    <t>Saradomin brew(4)</t>
  </si>
  <si>
    <t>Saradomin chaps</t>
  </si>
  <si>
    <t>Saradomin cloak</t>
  </si>
  <si>
    <t>Saradomin coif</t>
  </si>
  <si>
    <t>Saradomin crozier</t>
  </si>
  <si>
    <t>Saradomin d'hide body</t>
  </si>
  <si>
    <t>Saradomin d'hide boots</t>
  </si>
  <si>
    <t>Saradomin d'hide shield</t>
  </si>
  <si>
    <t>Saradomin dragonhide set</t>
  </si>
  <si>
    <t>Saradomin full helm</t>
  </si>
  <si>
    <t>Saradomin godsword</t>
  </si>
  <si>
    <t>Saradomin godsword ornament kit</t>
  </si>
  <si>
    <t>Saradomin hilt</t>
  </si>
  <si>
    <t>Saradomin kiteshield</t>
  </si>
  <si>
    <t>Saradomin mitre</t>
  </si>
  <si>
    <t>Saradomin mjolnir</t>
  </si>
  <si>
    <t>Saradomin page 1</t>
  </si>
  <si>
    <t>Saradomin page 2</t>
  </si>
  <si>
    <t>Saradomin page 3</t>
  </si>
  <si>
    <t>Saradomin page 4</t>
  </si>
  <si>
    <t>Saradomin platebody</t>
  </si>
  <si>
    <t>Saradomin platelegs</t>
  </si>
  <si>
    <t>Saradomin plateskirt</t>
  </si>
  <si>
    <t>Saradomin robe legs</t>
  </si>
  <si>
    <t>Saradomin robe top</t>
  </si>
  <si>
    <t>Saradomin stole</t>
  </si>
  <si>
    <t>Saradomin sword</t>
  </si>
  <si>
    <t>Saradomin's light</t>
  </si>
  <si>
    <t>Saradomin's tear</t>
  </si>
  <si>
    <t>Sardine</t>
  </si>
  <si>
    <t>Saturated heart</t>
  </si>
  <si>
    <t>Saw</t>
  </si>
  <si>
    <t>Sawmill voucher</t>
  </si>
  <si>
    <t>Scaly blue dragonhide</t>
  </si>
  <si>
    <t>Scrambled egg</t>
  </si>
  <si>
    <t>Scythe of vitur (uncharged)</t>
  </si>
  <si>
    <t>Sea turtle</t>
  </si>
  <si>
    <t>Searing page</t>
  </si>
  <si>
    <t>Seasoned sardine</t>
  </si>
  <si>
    <t>Seaweed</t>
  </si>
  <si>
    <t>Seaweed spore</t>
  </si>
  <si>
    <t>Secateurs</t>
  </si>
  <si>
    <t>Secateurs attachment</t>
  </si>
  <si>
    <t>Secateurs blade</t>
  </si>
  <si>
    <t>Security book</t>
  </si>
  <si>
    <t>Seed dibber</t>
  </si>
  <si>
    <t>Seercull</t>
  </si>
  <si>
    <t>Seers icon</t>
  </si>
  <si>
    <t>Seers ring</t>
  </si>
  <si>
    <t>Senntisten teleport (tablet)</t>
  </si>
  <si>
    <t>Serpentine helm (uncharged)</t>
  </si>
  <si>
    <t>Serpentine visage</t>
  </si>
  <si>
    <t>Serum 207 (1)</t>
  </si>
  <si>
    <t>Serum 207 (2)</t>
  </si>
  <si>
    <t>Serum 207 (3)</t>
  </si>
  <si>
    <t>Serum 207 (4)</t>
  </si>
  <si>
    <t>Shade robe</t>
  </si>
  <si>
    <t>Shade robe top</t>
  </si>
  <si>
    <t>Shaikahan bones</t>
  </si>
  <si>
    <t>Shaman mask</t>
  </si>
  <si>
    <t>Shantay pass (item)</t>
  </si>
  <si>
    <t>Shark</t>
  </si>
  <si>
    <t>Shark lure</t>
  </si>
  <si>
    <t>Shark paint</t>
  </si>
  <si>
    <t>Shattered banner</t>
  </si>
  <si>
    <t>Shattered boots (t1)</t>
  </si>
  <si>
    <t>Shattered boots (t2)</t>
  </si>
  <si>
    <t>Shattered boots (t3)</t>
  </si>
  <si>
    <t>Shattered cane</t>
  </si>
  <si>
    <t>Shattered cannon ornament kit</t>
  </si>
  <si>
    <t>Shattered hood (t1)</t>
  </si>
  <si>
    <t>Shattered hood (t2)</t>
  </si>
  <si>
    <t>Shattered hood (t3)</t>
  </si>
  <si>
    <t>Shattered relic hunter (t1) armour set</t>
  </si>
  <si>
    <t>Shattered relic hunter (t2) armour set</t>
  </si>
  <si>
    <t>Shattered relic hunter (t3) armour set</t>
  </si>
  <si>
    <t>Shattered relics mystic ornament kit</t>
  </si>
  <si>
    <t>Shattered relics variety ornament kit</t>
  </si>
  <si>
    <t>Shattered relics void ornament kit</t>
  </si>
  <si>
    <t>Shattered teleport scroll</t>
  </si>
  <si>
    <t>Shattered top (t1)</t>
  </si>
  <si>
    <t>Shattered top (t2)</t>
  </si>
  <si>
    <t>Shattered top (t3)</t>
  </si>
  <si>
    <t>Shattered trousers (t1)</t>
  </si>
  <si>
    <t>Shattered trousers (t2)</t>
  </si>
  <si>
    <t>Shattered trousers (t3)</t>
  </si>
  <si>
    <t>Shaving stand (flatpack)</t>
  </si>
  <si>
    <t>Shayzien banner</t>
  </si>
  <si>
    <t>Shayzien hood</t>
  </si>
  <si>
    <t>Shayzien scarf</t>
  </si>
  <si>
    <t>Shears</t>
  </si>
  <si>
    <t>Shield left half</t>
  </si>
  <si>
    <t>Shield right half</t>
  </si>
  <si>
    <t>Ship ticket</t>
  </si>
  <si>
    <t>Shirt (brown)</t>
  </si>
  <si>
    <t>Shirt (lilac)</t>
  </si>
  <si>
    <t>Shirt (yellow)</t>
  </si>
  <si>
    <t>Shoe box (flatpack)</t>
  </si>
  <si>
    <t>Short green guy</t>
  </si>
  <si>
    <t>Shortbow</t>
  </si>
  <si>
    <t>Shortbow (u)</t>
  </si>
  <si>
    <t>Shorts (blue)</t>
  </si>
  <si>
    <t>Shorts (brown)</t>
  </si>
  <si>
    <t>Shorts (yellow)</t>
  </si>
  <si>
    <t>Shoulder parrot</t>
  </si>
  <si>
    <t>Shrimps</t>
  </si>
  <si>
    <t>Shrunk ogleroot</t>
  </si>
  <si>
    <t>Sickle mould</t>
  </si>
  <si>
    <t>Sigil of aggression</t>
  </si>
  <si>
    <t>Sigil of agile fortune</t>
  </si>
  <si>
    <t>Sigil of arcane swiftness</t>
  </si>
  <si>
    <t>Sigil of barrows</t>
  </si>
  <si>
    <t>Sigil of binding</t>
  </si>
  <si>
    <t>Sigil of consistency</t>
  </si>
  <si>
    <t>Sigil of deception</t>
  </si>
  <si>
    <t>Sigil of deft strikes</t>
  </si>
  <si>
    <t>Sigil of devotion</t>
  </si>
  <si>
    <t>Sigil of enhanced harvest</t>
  </si>
  <si>
    <t>Sigil of escaping</t>
  </si>
  <si>
    <t>Sigil of exaggeration</t>
  </si>
  <si>
    <t>Sigil of faith</t>
  </si>
  <si>
    <t>Sigil of finality</t>
  </si>
  <si>
    <t>Sigil of fortification</t>
  </si>
  <si>
    <t>Sigil of freedom</t>
  </si>
  <si>
    <t>Sigil of garments</t>
  </si>
  <si>
    <t>Sigil of hoarding</t>
  </si>
  <si>
    <t>Sigil of last recall</t>
  </si>
  <si>
    <t>Sigil of litheness</t>
  </si>
  <si>
    <t>Sigil of meticulousness</t>
  </si>
  <si>
    <t>Sigil of mobility</t>
  </si>
  <si>
    <t>Sigil of nature</t>
  </si>
  <si>
    <t>Sigil of onslaught</t>
  </si>
  <si>
    <t>Sigil of pious protection</t>
  </si>
  <si>
    <t>Sigil of precision</t>
  </si>
  <si>
    <t>Sigil of preservation</t>
  </si>
  <si>
    <t>Sigil of prosperity</t>
  </si>
  <si>
    <t>Sigil of rampage</t>
  </si>
  <si>
    <t>Sigil of remote storage</t>
  </si>
  <si>
    <t>Sigil of resilience</t>
  </si>
  <si>
    <t>Sigil of resistance</t>
  </si>
  <si>
    <t>Sigil of restoration</t>
  </si>
  <si>
    <t>Sigil of revoked limitation</t>
  </si>
  <si>
    <t>Sigil of slaughter</t>
  </si>
  <si>
    <t>Sigil of specialised strikes</t>
  </si>
  <si>
    <t>Sigil of stamina</t>
  </si>
  <si>
    <t>Sigil of storage</t>
  </si>
  <si>
    <t>Sigil of supreme stamina</t>
  </si>
  <si>
    <t>Sigil of sustenance</t>
  </si>
  <si>
    <t>Sigil of the abyss</t>
  </si>
  <si>
    <t>Sigil of the adroit</t>
  </si>
  <si>
    <t>Sigil of the alchemaniac</t>
  </si>
  <si>
    <t>Sigil of the alchemist</t>
  </si>
  <si>
    <t>Sigil of the augmented thrall</t>
  </si>
  <si>
    <t>Sigil of the barbarians</t>
  </si>
  <si>
    <t>Sigil of the bloodhound</t>
  </si>
  <si>
    <t>Sigil of the chef</t>
  </si>
  <si>
    <t>Sigil of the craftsman</t>
  </si>
  <si>
    <t>Sigil of the dwarves</t>
  </si>
  <si>
    <t>Sigil of the elves</t>
  </si>
  <si>
    <t>Sigil of the eternal jeweller</t>
  </si>
  <si>
    <t>Sigil of the feral fighter</t>
  </si>
  <si>
    <t>Sigil of the fletcher</t>
  </si>
  <si>
    <t>Sigil of the food master</t>
  </si>
  <si>
    <t>Sigil of the forager</t>
  </si>
  <si>
    <t>Sigil of the formidable fighter</t>
  </si>
  <si>
    <t>Sigil of the fortune farmer</t>
  </si>
  <si>
    <t>Sigil of the gnomes</t>
  </si>
  <si>
    <t>Sigil of the guardian angel</t>
  </si>
  <si>
    <t>Sigil of the gunslinger</t>
  </si>
  <si>
    <t>Sigil of the hunter</t>
  </si>
  <si>
    <t>Sigil of the infernal chef</t>
  </si>
  <si>
    <t>Sigil of the infernal smith</t>
  </si>
  <si>
    <t>Sigil of the lightbearer</t>
  </si>
  <si>
    <t>Sigil of the menacing mage</t>
  </si>
  <si>
    <t>Sigil of the meticulous mage</t>
  </si>
  <si>
    <t>Sigil of the ninja</t>
  </si>
  <si>
    <t>Sigil of the porcupine</t>
  </si>
  <si>
    <t>Sigil of the potion master</t>
  </si>
  <si>
    <t>Sigil of the rampart</t>
  </si>
  <si>
    <t>Sigil of the rigorous ranger</t>
  </si>
  <si>
    <t>Sigil of the ruthless ranger</t>
  </si>
  <si>
    <t>Sigil of the serpent</t>
  </si>
  <si>
    <t>Sigil of the skiller</t>
  </si>
  <si>
    <t>Sigil of the smith</t>
  </si>
  <si>
    <t>Sigil of the swashbuckler</t>
  </si>
  <si>
    <t>Sigil of the treasure hunter</t>
  </si>
  <si>
    <t>Sigil of the well fed</t>
  </si>
  <si>
    <t>Sigil of titanium</t>
  </si>
  <si>
    <t>Sigil of versatility</t>
  </si>
  <si>
    <t>Sigil of woodcraft</t>
  </si>
  <si>
    <t>Silk</t>
  </si>
  <si>
    <t>Silver bar</t>
  </si>
  <si>
    <t>Silver bolts</t>
  </si>
  <si>
    <t>Silver bolts (p)</t>
  </si>
  <si>
    <t>Silver bolts (p+)</t>
  </si>
  <si>
    <t>Silver bolts (p++)</t>
  </si>
  <si>
    <t>Silver bolts (unf)</t>
  </si>
  <si>
    <t>Silver locks</t>
  </si>
  <si>
    <t>Silver ore</t>
  </si>
  <si>
    <t>Silver sickle</t>
  </si>
  <si>
    <t>Sinew</t>
  </si>
  <si>
    <t>Sinister key</t>
  </si>
  <si>
    <t>Skeletal armour set</t>
  </si>
  <si>
    <t>Skeletal boots</t>
  </si>
  <si>
    <t>Skeletal bottoms</t>
  </si>
  <si>
    <t>Skeletal gloves</t>
  </si>
  <si>
    <t>Skeletal helm</t>
  </si>
  <si>
    <t>Skeletal top</t>
  </si>
  <si>
    <t>Skeletal visage</t>
  </si>
  <si>
    <t>Skewer</t>
  </si>
  <si>
    <t>Skewer stick</t>
  </si>
  <si>
    <t>Skills necklace</t>
  </si>
  <si>
    <t>Skills necklace(4)</t>
  </si>
  <si>
    <t>Skills necklace(6)</t>
  </si>
  <si>
    <t>Skirt (blue)</t>
  </si>
  <si>
    <t>Skirt (brown)</t>
  </si>
  <si>
    <t>Skirt (lilac)</t>
  </si>
  <si>
    <t>Skull of vet'ion</t>
  </si>
  <si>
    <t>Skull piece</t>
  </si>
  <si>
    <t>Slayer bell</t>
  </si>
  <si>
    <t>Slayer's enchantment</t>
  </si>
  <si>
    <t>Slayer's respite</t>
  </si>
  <si>
    <t>Slayer's respite(4)</t>
  </si>
  <si>
    <t>Slayer's respite(m)</t>
  </si>
  <si>
    <t>Slayer's respite(m4)</t>
  </si>
  <si>
    <t>Slayer's staff</t>
  </si>
  <si>
    <t>Sleeping cap</t>
  </si>
  <si>
    <t>Sliced banana</t>
  </si>
  <si>
    <t>Sliced mushrooms</t>
  </si>
  <si>
    <t>Small box hedge (bagged)</t>
  </si>
  <si>
    <t>Small fishing net</t>
  </si>
  <si>
    <t>Smoke battlestaff</t>
  </si>
  <si>
    <t>Smoke rune</t>
  </si>
  <si>
    <t>Smouldering stone</t>
  </si>
  <si>
    <t>Snake hide</t>
  </si>
  <si>
    <t>Snake hide (swamp)</t>
  </si>
  <si>
    <t>Snakeskin</t>
  </si>
  <si>
    <t>Snakeskin bandana</t>
  </si>
  <si>
    <t>Snakeskin body</t>
  </si>
  <si>
    <t>Snakeskin boots</t>
  </si>
  <si>
    <t>Snakeskin chaps</t>
  </si>
  <si>
    <t>Snakeskin shield</t>
  </si>
  <si>
    <t>Snakeskin vambraces</t>
  </si>
  <si>
    <t>Snapdragon</t>
  </si>
  <si>
    <t>Snapdragon seed</t>
  </si>
  <si>
    <t>Snape grass seed</t>
  </si>
  <si>
    <t>Snowy knight (item)</t>
  </si>
  <si>
    <t>Snowy knight mix (1)</t>
  </si>
  <si>
    <t>Snowy knight mix (2)</t>
  </si>
  <si>
    <t>Soaked page</t>
  </si>
  <si>
    <t>Soda ash</t>
  </si>
  <si>
    <t>Soft clay</t>
  </si>
  <si>
    <t>Soiled page</t>
  </si>
  <si>
    <t>Soul rune</t>
  </si>
  <si>
    <t>Soulflame horn</t>
  </si>
  <si>
    <t>Soulreaper axe</t>
  </si>
  <si>
    <t>Spade</t>
  </si>
  <si>
    <t>Spatula</t>
  </si>
  <si>
    <t>Spectral sigil</t>
  </si>
  <si>
    <t>Spectral spirit shield</t>
  </si>
  <si>
    <t>Spice</t>
  </si>
  <si>
    <t>Spicy crunchies</t>
  </si>
  <si>
    <t>Spicy minced meat</t>
  </si>
  <si>
    <t>Spicy sauce</t>
  </si>
  <si>
    <t>Spicy tomato</t>
  </si>
  <si>
    <t>Spider carcass</t>
  </si>
  <si>
    <t>Spider cave teleport</t>
  </si>
  <si>
    <t>Spider on shaft</t>
  </si>
  <si>
    <t>Spider on stick</t>
  </si>
  <si>
    <t>Spiked boots</t>
  </si>
  <si>
    <t>Spiked manacles</t>
  </si>
  <si>
    <t>Spiky vambraces</t>
  </si>
  <si>
    <t>Spinach roll</t>
  </si>
  <si>
    <t>Spined armour set</t>
  </si>
  <si>
    <t>Spined body</t>
  </si>
  <si>
    <t>Spined boots</t>
  </si>
  <si>
    <t>Spined chaps</t>
  </si>
  <si>
    <t>Spined gloves</t>
  </si>
  <si>
    <t>Spined helm</t>
  </si>
  <si>
    <t>Spiny helmet</t>
  </si>
  <si>
    <t>Spirit shield</t>
  </si>
  <si>
    <t>Split log</t>
  </si>
  <si>
    <t>Splitbark body</t>
  </si>
  <si>
    <t>Splitbark boots</t>
  </si>
  <si>
    <t>Splitbark gauntlets</t>
  </si>
  <si>
    <t>Splitbark helm</t>
  </si>
  <si>
    <t>Splitbark legs</t>
  </si>
  <si>
    <t>Spork</t>
  </si>
  <si>
    <t>Spotted cape</t>
  </si>
  <si>
    <t>Spotted kebbit fur</t>
  </si>
  <si>
    <t>Spottier cape</t>
  </si>
  <si>
    <t>Squid beak</t>
  </si>
  <si>
    <t>Staff</t>
  </si>
  <si>
    <t>Staff of air</t>
  </si>
  <si>
    <t>Staff of balance</t>
  </si>
  <si>
    <t>Staff of bob the cat</t>
  </si>
  <si>
    <t>Staff of earth</t>
  </si>
  <si>
    <t>Staff of fire</t>
  </si>
  <si>
    <t>Staff of light</t>
  </si>
  <si>
    <t>Staff of the dead</t>
  </si>
  <si>
    <t>Staff of water</t>
  </si>
  <si>
    <t>Stale baguette</t>
  </si>
  <si>
    <t>Stamina mix(1)</t>
  </si>
  <si>
    <t>Stamina mix(2)</t>
  </si>
  <si>
    <t>Stamina potion(1)</t>
  </si>
  <si>
    <t>Stamina potion(2)</t>
  </si>
  <si>
    <t>Statius's full helm</t>
  </si>
  <si>
    <t>Statius's platebody</t>
  </si>
  <si>
    <t>Statius's platelegs</t>
  </si>
  <si>
    <t>Statius's warhammer</t>
  </si>
  <si>
    <t>Steam battlestaff</t>
  </si>
  <si>
    <t>Steam rune</t>
  </si>
  <si>
    <t>Steam staff upgrade kit</t>
  </si>
  <si>
    <t>Steamforge brew</t>
  </si>
  <si>
    <t>Steel 2h sword</t>
  </si>
  <si>
    <t>Steel arrow</t>
  </si>
  <si>
    <t>Steel arrow(p)</t>
  </si>
  <si>
    <t>Steel arrow(p+)</t>
  </si>
  <si>
    <t>Steel arrow(p++)</t>
  </si>
  <si>
    <t>Steel arrowtips</t>
  </si>
  <si>
    <t>Steel axe</t>
  </si>
  <si>
    <t>Steel bar</t>
  </si>
  <si>
    <t>Steel battleaxe</t>
  </si>
  <si>
    <t>Steel bolts</t>
  </si>
  <si>
    <t>Steel bolts (p)</t>
  </si>
  <si>
    <t>Steel bolts (p+)</t>
  </si>
  <si>
    <t>Steel bolts (p++)</t>
  </si>
  <si>
    <t>Steel bolts (unf)</t>
  </si>
  <si>
    <t>Steel boots</t>
  </si>
  <si>
    <t>Steel brutal</t>
  </si>
  <si>
    <t>Steel cannonball</t>
  </si>
  <si>
    <t>Steel chainbody</t>
  </si>
  <si>
    <t>Steel claws</t>
  </si>
  <si>
    <t>Steel crossbow</t>
  </si>
  <si>
    <t>Steel crossbow (u)</t>
  </si>
  <si>
    <t>Steel dagger</t>
  </si>
  <si>
    <t>Steel dagger(p)</t>
  </si>
  <si>
    <t>Steel dagger(p+)</t>
  </si>
  <si>
    <t>Steel dagger(p++)</t>
  </si>
  <si>
    <t>Steel dart</t>
  </si>
  <si>
    <t>Steel dart tip</t>
  </si>
  <si>
    <t>Steel dart(p)</t>
  </si>
  <si>
    <t>Steel dart(p+)</t>
  </si>
  <si>
    <t>Steel dart(p++)</t>
  </si>
  <si>
    <t>Steel dragon mask</t>
  </si>
  <si>
    <t>Steel felling axe</t>
  </si>
  <si>
    <t>Steel full helm</t>
  </si>
  <si>
    <t>Steel full helm (g)</t>
  </si>
  <si>
    <t>Steel full helm (t)</t>
  </si>
  <si>
    <t>Steel gold-trimmed set (lg)</t>
  </si>
  <si>
    <t>Steel gold-trimmed set (sk)</t>
  </si>
  <si>
    <t>Steel halberd</t>
  </si>
  <si>
    <t>Steel hasta</t>
  </si>
  <si>
    <t>Steel hasta(p)</t>
  </si>
  <si>
    <t>Steel hasta(p+)</t>
  </si>
  <si>
    <t>Steel hasta(p++)</t>
  </si>
  <si>
    <t>Steel javelin</t>
  </si>
  <si>
    <t>Steel javelin tips</t>
  </si>
  <si>
    <t>Steel javelin(p)</t>
  </si>
  <si>
    <t>Steel javelin(p+)</t>
  </si>
  <si>
    <t>Steel javelin(p++)</t>
  </si>
  <si>
    <t>Steel keel parts</t>
  </si>
  <si>
    <t>Steel kiteshield</t>
  </si>
  <si>
    <t>Steel kiteshield (g)</t>
  </si>
  <si>
    <t>Steel kiteshield (t)</t>
  </si>
  <si>
    <t>Steel knife</t>
  </si>
  <si>
    <t>Steel knife(p)</t>
  </si>
  <si>
    <t>Steel knife(p+)</t>
  </si>
  <si>
    <t>Steel knife(p++)</t>
  </si>
  <si>
    <t>Steel limbs</t>
  </si>
  <si>
    <t>Steel locks</t>
  </si>
  <si>
    <t>Steel longsword</t>
  </si>
  <si>
    <t>Steel mace</t>
  </si>
  <si>
    <t>Steel med helm</t>
  </si>
  <si>
    <t>Steel nails</t>
  </si>
  <si>
    <t>Steel pickaxe</t>
  </si>
  <si>
    <t>Steel platebody</t>
  </si>
  <si>
    <t>Steel platebody (g)</t>
  </si>
  <si>
    <t>Steel platebody (t)</t>
  </si>
  <si>
    <t>Steel platelegs</t>
  </si>
  <si>
    <t>Steel platelegs (g)</t>
  </si>
  <si>
    <t>Steel platelegs (t)</t>
  </si>
  <si>
    <t>Steel plateskirt</t>
  </si>
  <si>
    <t>Steel plateskirt (g)</t>
  </si>
  <si>
    <t>Steel plateskirt (t)</t>
  </si>
  <si>
    <t>Steel ring</t>
  </si>
  <si>
    <t>Steel scimitar</t>
  </si>
  <si>
    <t>Steel set (lg)</t>
  </si>
  <si>
    <t>Steel set (sk)</t>
  </si>
  <si>
    <t>Steel spear</t>
  </si>
  <si>
    <t>Steel spear(p)</t>
  </si>
  <si>
    <t>Steel spear(p+)</t>
  </si>
  <si>
    <t>Steel spear(p++)</t>
  </si>
  <si>
    <t>Steel sq shield</t>
  </si>
  <si>
    <t>Steel studs</t>
  </si>
  <si>
    <t>Steel sword</t>
  </si>
  <si>
    <t>Steel thrownaxe</t>
  </si>
  <si>
    <t>Steel trimmed set (lg)</t>
  </si>
  <si>
    <t>Steel trimmed set (sk)</t>
  </si>
  <si>
    <t>Steel warhammer</t>
  </si>
  <si>
    <t>Stew</t>
  </si>
  <si>
    <t>Stockpiling charm</t>
  </si>
  <si>
    <t>Stone scarab</t>
  </si>
  <si>
    <t>Stone seal</t>
  </si>
  <si>
    <t>Stone statuette</t>
  </si>
  <si>
    <t>Stony basalt</t>
  </si>
  <si>
    <t>Strange fruit</t>
  </si>
  <si>
    <t>Strange old lockpick (full)</t>
  </si>
  <si>
    <t>Strawberries(5)</t>
  </si>
  <si>
    <t>Strawberry</t>
  </si>
  <si>
    <t>Strawberry seed</t>
  </si>
  <si>
    <t>Strength amulet (t)</t>
  </si>
  <si>
    <t>Strength mix(1)</t>
  </si>
  <si>
    <t>Strength mix(2)</t>
  </si>
  <si>
    <t>Strength potion(1)</t>
  </si>
  <si>
    <t>Strength potion(2)</t>
  </si>
  <si>
    <t>Strength potion(3)</t>
  </si>
  <si>
    <t>Strength potion(4)</t>
  </si>
  <si>
    <t>Stretched hide</t>
  </si>
  <si>
    <t>Stripy feather</t>
  </si>
  <si>
    <t>Stripy pirate shirt (beige)</t>
  </si>
  <si>
    <t>Stripy pirate shirt (blue)</t>
  </si>
  <si>
    <t>Stripy pirate shirt (brown)</t>
  </si>
  <si>
    <t>Stripy pirate shirt (red)</t>
  </si>
  <si>
    <t>Stronghold notes</t>
  </si>
  <si>
    <t>Strung rabbit foot</t>
  </si>
  <si>
    <t>Strykewyrm bones</t>
  </si>
  <si>
    <t>Studded body</t>
  </si>
  <si>
    <t>Studded body (g)</t>
  </si>
  <si>
    <t>Studded body (t)</t>
  </si>
  <si>
    <t>Studded chaps</t>
  </si>
  <si>
    <t>Studded chaps (g)</t>
  </si>
  <si>
    <t>Studded chaps (t)</t>
  </si>
  <si>
    <t>Sturdy harness</t>
  </si>
  <si>
    <t>Sulliuscep cap</t>
  </si>
  <si>
    <t>Sulphur blades</t>
  </si>
  <si>
    <t>Summer pie</t>
  </si>
  <si>
    <t>Summon boat</t>
  </si>
  <si>
    <t>Sun-shine</t>
  </si>
  <si>
    <t>Sunbeam ale</t>
  </si>
  <si>
    <t>Sunfire fanatic armour set</t>
  </si>
  <si>
    <t>Sunfire fanatic chausses</t>
  </si>
  <si>
    <t>Sunfire fanatic cuirass</t>
  </si>
  <si>
    <t>Sunfire fanatic helm</t>
  </si>
  <si>
    <t>Sunfire rune</t>
  </si>
  <si>
    <t>Sunfire splinters</t>
  </si>
  <si>
    <t>Sunlight antelope antler</t>
  </si>
  <si>
    <t>Sunlight antelope fur</t>
  </si>
  <si>
    <t>Sunlight antler bolts</t>
  </si>
  <si>
    <t>Sunlight moth (item)</t>
  </si>
  <si>
    <t>Sunlight moth mix (1)</t>
  </si>
  <si>
    <t>Sunlight moth mix (2)</t>
  </si>
  <si>
    <t>Super antifire mix(1)</t>
  </si>
  <si>
    <t>Super antifire mix(2)</t>
  </si>
  <si>
    <t>Super antifire potion(1)</t>
  </si>
  <si>
    <t>Super antifire potion(2)</t>
  </si>
  <si>
    <t>Super attack(1)</t>
  </si>
  <si>
    <t>Super attack(2)</t>
  </si>
  <si>
    <t>Super combat potion(1)</t>
  </si>
  <si>
    <t>Super combat potion(2)</t>
  </si>
  <si>
    <t>Super def. mix(1)</t>
  </si>
  <si>
    <t>Super def. mix(2)</t>
  </si>
  <si>
    <t>Super defence(1)</t>
  </si>
  <si>
    <t>Super defence(2)</t>
  </si>
  <si>
    <t>Super energy mix(1)</t>
  </si>
  <si>
    <t>Super energy mix(2)</t>
  </si>
  <si>
    <t>Super energy(1)</t>
  </si>
  <si>
    <t>Super energy(2)</t>
  </si>
  <si>
    <t>Super fishing potion(1)</t>
  </si>
  <si>
    <t>Super fishing potion(2)</t>
  </si>
  <si>
    <t>Super fishing potion(3)</t>
  </si>
  <si>
    <t>Super fishing potion(4)</t>
  </si>
  <si>
    <t>Super hunter potion(1)</t>
  </si>
  <si>
    <t>Super hunter potion(2)</t>
  </si>
  <si>
    <t>Super hunter potion(3)</t>
  </si>
  <si>
    <t>Super hunter potion(4)</t>
  </si>
  <si>
    <t>Super kebab</t>
  </si>
  <si>
    <t>Super potion set</t>
  </si>
  <si>
    <t>Super restore mix(1)</t>
  </si>
  <si>
    <t>Super restore mix(2)</t>
  </si>
  <si>
    <t>Super restore(1)</t>
  </si>
  <si>
    <t>Super restore(2)</t>
  </si>
  <si>
    <t>Super restore(3)</t>
  </si>
  <si>
    <t>Super restore(4)</t>
  </si>
  <si>
    <t>Super str. mix(1)</t>
  </si>
  <si>
    <t>Super str. mix(2)</t>
  </si>
  <si>
    <t>Super strength(1)</t>
  </si>
  <si>
    <t>Super strength(2)</t>
  </si>
  <si>
    <t>Superantipoison(1)</t>
  </si>
  <si>
    <t>Superantipoison(2)</t>
  </si>
  <si>
    <t>Superantipoison(3)</t>
  </si>
  <si>
    <t>Superantipoison(4)</t>
  </si>
  <si>
    <t>Superattack mix(1)</t>
  </si>
  <si>
    <t>Superattack mix(2)</t>
  </si>
  <si>
    <t>Supercompost</t>
  </si>
  <si>
    <t>Superior dragon bones</t>
  </si>
  <si>
    <t>Swamp lizard</t>
  </si>
  <si>
    <t>Swamp paste</t>
  </si>
  <si>
    <t>Swamp tar</t>
  </si>
  <si>
    <t>Swamp toad (item)</t>
  </si>
  <si>
    <t>Swamp weed</t>
  </si>
  <si>
    <t>Swampbark armour set</t>
  </si>
  <si>
    <t>Swampbark body</t>
  </si>
  <si>
    <t>Swampbark boots</t>
  </si>
  <si>
    <t>Swampbark gauntlets</t>
  </si>
  <si>
    <t>Swampbark helm</t>
  </si>
  <si>
    <t>Swampbark legs</t>
  </si>
  <si>
    <t>Sweetcorn</t>
  </si>
  <si>
    <t>Sweetcorn (bowl)</t>
  </si>
  <si>
    <t>Sweetcorn seed</t>
  </si>
  <si>
    <t>Swift albatross feather</t>
  </si>
  <si>
    <t>Swift blade</t>
  </si>
  <si>
    <t>Swordfish</t>
  </si>
  <si>
    <t>Swords and emblem</t>
  </si>
  <si>
    <t>Swords and emblem (b)</t>
  </si>
  <si>
    <t>Swords and emblem (g)</t>
  </si>
  <si>
    <t>Swords and emblem (p)</t>
  </si>
  <si>
    <t>Swordtip squid</t>
  </si>
  <si>
    <t>Tai bwo wannai teleport</t>
  </si>
  <si>
    <t>Tall box hedge (bagged)</t>
  </si>
  <si>
    <t>Tall fancy hedge (bagged)</t>
  </si>
  <si>
    <t>Tan cavalier</t>
  </si>
  <si>
    <t>Tangled toad's legs</t>
  </si>
  <si>
    <t>Tanzanite fang</t>
  </si>
  <si>
    <t>Target teleport</t>
  </si>
  <si>
    <t>Target teleport scroll</t>
  </si>
  <si>
    <t>Tarromin</t>
  </si>
  <si>
    <t>Tarromin seed</t>
  </si>
  <si>
    <t>Tarromin tar</t>
  </si>
  <si>
    <t>Tatty graahk fur</t>
  </si>
  <si>
    <t>Tatty kyatt fur</t>
  </si>
  <si>
    <t>Tatty larupia fur</t>
  </si>
  <si>
    <t>Te salt</t>
  </si>
  <si>
    <t>Teacher wand</t>
  </si>
  <si>
    <t>Teak armchair (flatpack)</t>
  </si>
  <si>
    <t>Teak armour case (flatpack)</t>
  </si>
  <si>
    <t>Teak bed (flatpack)</t>
  </si>
  <si>
    <t>Teak bird house</t>
  </si>
  <si>
    <t>Teak cape rack (flatpack)</t>
  </si>
  <si>
    <t>Teak clock (flatpack)</t>
  </si>
  <si>
    <t>Teak dining bench (flatpack)</t>
  </si>
  <si>
    <t>Teak drawers (flatpack)</t>
  </si>
  <si>
    <t>Teak dresser (flatpack)</t>
  </si>
  <si>
    <t>Teak fancy dress box (flatpack)</t>
  </si>
  <si>
    <t>Teak hull parts</t>
  </si>
  <si>
    <t>Teak kitchen table (flatpack)</t>
  </si>
  <si>
    <t>Teak logs</t>
  </si>
  <si>
    <t>Teak magic wardrobe (flatpack)</t>
  </si>
  <si>
    <t>Teak plank</t>
  </si>
  <si>
    <t>Teak pyre logs</t>
  </si>
  <si>
    <t>Teak repair kit</t>
  </si>
  <si>
    <t>Teak sapling</t>
  </si>
  <si>
    <t>Teak seed</t>
  </si>
  <si>
    <t>Teak stock</t>
  </si>
  <si>
    <t>Teak table (flatpack)</t>
  </si>
  <si>
    <t>Teak toy box (flatpack)</t>
  </si>
  <si>
    <t>Teak treasure chest (flatpack)</t>
  </si>
  <si>
    <t>Teak wardrobe (flatpack)</t>
  </si>
  <si>
    <t>Teal boots</t>
  </si>
  <si>
    <t>Teal gloves</t>
  </si>
  <si>
    <t>Teal hat</t>
  </si>
  <si>
    <t>Teal robe bottoms</t>
  </si>
  <si>
    <t>Teal robe top</t>
  </si>
  <si>
    <t>Team cape i</t>
  </si>
  <si>
    <t>Team cape x</t>
  </si>
  <si>
    <t>Team cape zero</t>
  </si>
  <si>
    <t>Team-1 cape</t>
  </si>
  <si>
    <t>Team-10 cape</t>
  </si>
  <si>
    <t>Team-11 cape</t>
  </si>
  <si>
    <t>Team-12 cape</t>
  </si>
  <si>
    <t>Team-13 cape</t>
  </si>
  <si>
    <t>Team-14 cape</t>
  </si>
  <si>
    <t>Team-15 cape</t>
  </si>
  <si>
    <t>Team-16 cape</t>
  </si>
  <si>
    <t>Team-17 cape</t>
  </si>
  <si>
    <t>Team-18 cape</t>
  </si>
  <si>
    <t>Team-19 cape</t>
  </si>
  <si>
    <t>Team-2 cape</t>
  </si>
  <si>
    <t>Team-20 cape</t>
  </si>
  <si>
    <t>Team-21 cape</t>
  </si>
  <si>
    <t>Team-22 cape</t>
  </si>
  <si>
    <t>Team-23 cape</t>
  </si>
  <si>
    <t>Team-24 cape</t>
  </si>
  <si>
    <t>Team-25 cape</t>
  </si>
  <si>
    <t>Team-26 cape</t>
  </si>
  <si>
    <t>Team-27 cape</t>
  </si>
  <si>
    <t>Team-28 cape</t>
  </si>
  <si>
    <t>Team-29 cape</t>
  </si>
  <si>
    <t>Team-3 cape</t>
  </si>
  <si>
    <t>Team-30 cape</t>
  </si>
  <si>
    <t>Team-31 cape</t>
  </si>
  <si>
    <t>Team-32 cape</t>
  </si>
  <si>
    <t>Team-33 cape</t>
  </si>
  <si>
    <t>Team-34 cape</t>
  </si>
  <si>
    <t>Team-35 cape</t>
  </si>
  <si>
    <t>Team-36 cape</t>
  </si>
  <si>
    <t>Team-37 cape</t>
  </si>
  <si>
    <t>Team-38 cape</t>
  </si>
  <si>
    <t>Team-39 cape</t>
  </si>
  <si>
    <t>Team-4 cape</t>
  </si>
  <si>
    <t>Team-40 cape</t>
  </si>
  <si>
    <t>Team-41 cape</t>
  </si>
  <si>
    <t>Team-42 cape</t>
  </si>
  <si>
    <t>Team-43 cape</t>
  </si>
  <si>
    <t>Team-44 cape</t>
  </si>
  <si>
    <t>Team-45 cape</t>
  </si>
  <si>
    <t>Team-46 cape</t>
  </si>
  <si>
    <t>Team-47 cape</t>
  </si>
  <si>
    <t>Team-48 cape</t>
  </si>
  <si>
    <t>Team-49 cape</t>
  </si>
  <si>
    <t>Team-5 cape</t>
  </si>
  <si>
    <t>Team-50 cape</t>
  </si>
  <si>
    <t>Team-6 cape</t>
  </si>
  <si>
    <t>Team-7 cape</t>
  </si>
  <si>
    <t>Team-8 cape</t>
  </si>
  <si>
    <t>Team-9 cape</t>
  </si>
  <si>
    <t>Teasing stick</t>
  </si>
  <si>
    <t>Tecu salamander</t>
  </si>
  <si>
    <t>Teleport anchoring scroll</t>
  </si>
  <si>
    <t>Teleport card</t>
  </si>
  <si>
    <t>Teleport to boat</t>
  </si>
  <si>
    <t>Teleport to house (tablet)</t>
  </si>
  <si>
    <t>Thammaron's sceptre (au)</t>
  </si>
  <si>
    <t>Thammaron's sceptre (u)</t>
  </si>
  <si>
    <t>Thatch spar dense</t>
  </si>
  <si>
    <t>Thatch spar light</t>
  </si>
  <si>
    <t>Thatch spar med</t>
  </si>
  <si>
    <t>The dogsword</t>
  </si>
  <si>
    <t>Thieving bag</t>
  </si>
  <si>
    <t>Thin snail</t>
  </si>
  <si>
    <t>Thin snail meat</t>
  </si>
  <si>
    <t>Thorny hedge (bagged)</t>
  </si>
  <si>
    <t>Thread</t>
  </si>
  <si>
    <t>Thunder khopesh</t>
  </si>
  <si>
    <t>Tiara</t>
  </si>
  <si>
    <t>Tiara mould</t>
  </si>
  <si>
    <t>Timber beam</t>
  </si>
  <si>
    <t>Tin ore</t>
  </si>
  <si>
    <t>Tinderbox</t>
  </si>
  <si>
    <t>Toad batta</t>
  </si>
  <si>
    <t>Toad crunchies</t>
  </si>
  <si>
    <t>Toadflax seed</t>
  </si>
  <si>
    <t>Toktz-ket-xil</t>
  </si>
  <si>
    <t>Toktz-mej-tal</t>
  </si>
  <si>
    <t>Toktz-xil-ak</t>
  </si>
  <si>
    <t>Toktz-xil-ek</t>
  </si>
  <si>
    <t>Toktz-xil-ul</t>
  </si>
  <si>
    <t>Tomato</t>
  </si>
  <si>
    <t>Tomato seed</t>
  </si>
  <si>
    <t>Tomatoes(5)</t>
  </si>
  <si>
    <t>Tome of earth (empty)</t>
  </si>
  <si>
    <t>Tome of fire (empty)</t>
  </si>
  <si>
    <t>Tome of water (empty)</t>
  </si>
  <si>
    <t>Tonalztics of ralos (uncharged)</t>
  </si>
  <si>
    <t>Tonameyo white</t>
  </si>
  <si>
    <t>Tooth half of key</t>
  </si>
  <si>
    <t>Top hat</t>
  </si>
  <si>
    <t>Top hat &amp; monocle</t>
  </si>
  <si>
    <t>Topaz amulet</t>
  </si>
  <si>
    <t>Topaz amulet (u)</t>
  </si>
  <si>
    <t>Topaz bolt tips</t>
  </si>
  <si>
    <t>Topaz bolts</t>
  </si>
  <si>
    <t>Topaz bolts (e)</t>
  </si>
  <si>
    <t>Topaz bracelet</t>
  </si>
  <si>
    <t>Topaz dragon bolts</t>
  </si>
  <si>
    <t>Topaz dragon bolts (e)</t>
  </si>
  <si>
    <t>Topaz necklace</t>
  </si>
  <si>
    <t>Topaz ring</t>
  </si>
  <si>
    <t>Topiary hedge (bagged)</t>
  </si>
  <si>
    <t>Torag's armour set</t>
  </si>
  <si>
    <t>Torag's hammers</t>
  </si>
  <si>
    <t>Torag's hammers 0</t>
  </si>
  <si>
    <t>Torag's helm</t>
  </si>
  <si>
    <t>Torag's helm 0</t>
  </si>
  <si>
    <t>Torag's platebody</t>
  </si>
  <si>
    <t>Torag's platebody 0</t>
  </si>
  <si>
    <t>Torag's platelegs</t>
  </si>
  <si>
    <t>Torag's platelegs 0</t>
  </si>
  <si>
    <t>Tormented bracelet</t>
  </si>
  <si>
    <t>Tormented ornament kit</t>
  </si>
  <si>
    <t>Tormented synapse</t>
  </si>
  <si>
    <t>Torn prayer scroll</t>
  </si>
  <si>
    <t>Torstol seed</t>
  </si>
  <si>
    <t>Tortoise shell</t>
  </si>
  <si>
    <t>Torture ornament kit</t>
  </si>
  <si>
    <t>Torva armour set</t>
  </si>
  <si>
    <t>Torva full helm</t>
  </si>
  <si>
    <t>Torva full helm (damaged)</t>
  </si>
  <si>
    <t>Torva platebody</t>
  </si>
  <si>
    <t>Torva platebody (damaged)</t>
  </si>
  <si>
    <t>Torva platelegs</t>
  </si>
  <si>
    <t>Torva platelegs (damaged)</t>
  </si>
  <si>
    <t>Toxic blowpipe (empty)</t>
  </si>
  <si>
    <t>Toxic staff (uncharged)</t>
  </si>
  <si>
    <t>Toy cat</t>
  </si>
  <si>
    <t>Toy doll</t>
  </si>
  <si>
    <t>Toy doll (wound)</t>
  </si>
  <si>
    <t>Toy mouse</t>
  </si>
  <si>
    <t>Toy mouse (wound)</t>
  </si>
  <si>
    <t>Toy soldier</t>
  </si>
  <si>
    <t>Toy soldier (wound)</t>
  </si>
  <si>
    <t>Trading sticks</t>
  </si>
  <si>
    <t>Trailblazer banner</t>
  </si>
  <si>
    <t>Trailblazer boots (t1)</t>
  </si>
  <si>
    <t>Trailblazer boots (t2)</t>
  </si>
  <si>
    <t>Trailblazer boots (t3)</t>
  </si>
  <si>
    <t>Trailblazer cane</t>
  </si>
  <si>
    <t>Trailblazer globe</t>
  </si>
  <si>
    <t>Trailblazer graceful ornament kit</t>
  </si>
  <si>
    <t>Trailblazer hood (t1)</t>
  </si>
  <si>
    <t>Trailblazer hood (t2)</t>
  </si>
  <si>
    <t>Trailblazer hood (t3)</t>
  </si>
  <si>
    <t>Trailblazer relic hunter (t1) armour set</t>
  </si>
  <si>
    <t>Trailblazer relic hunter (t2) armour set</t>
  </si>
  <si>
    <t>Trailblazer relic hunter (t3) armour set</t>
  </si>
  <si>
    <t>Trailblazer reloaded alchemy scroll</t>
  </si>
  <si>
    <t>Trailblazer reloaded banner</t>
  </si>
  <si>
    <t>Trailblazer reloaded blowpipe ornament kit</t>
  </si>
  <si>
    <t>Trailblazer reloaded boots (t1)</t>
  </si>
  <si>
    <t>Trailblazer reloaded boots (t2)</t>
  </si>
  <si>
    <t>Trailblazer reloaded boots (t3)</t>
  </si>
  <si>
    <t>Trailblazer reloaded bulwark ornament kit</t>
  </si>
  <si>
    <t>Trailblazer reloaded death scroll</t>
  </si>
  <si>
    <t>Trailblazer reloaded headband (t1)</t>
  </si>
  <si>
    <t>Trailblazer reloaded headband (t2)</t>
  </si>
  <si>
    <t>Trailblazer reloaded headband (t3)</t>
  </si>
  <si>
    <t>Trailblazer reloaded home teleport scroll</t>
  </si>
  <si>
    <t>Trailblazer reloaded rejuvenation pool scroll</t>
  </si>
  <si>
    <t>Trailblazer reloaded relic hunter (t1) armour set</t>
  </si>
  <si>
    <t>Trailblazer reloaded relic hunter (t2) armour set</t>
  </si>
  <si>
    <t>Trailblazer reloaded relic hunter (t3) armour set</t>
  </si>
  <si>
    <t>Trailblazer reloaded top (t1)</t>
  </si>
  <si>
    <t>Trailblazer reloaded top (t2)</t>
  </si>
  <si>
    <t>Trailblazer reloaded top (t3)</t>
  </si>
  <si>
    <t>Trailblazer reloaded torch</t>
  </si>
  <si>
    <t>Trailblazer reloaded trousers (t1)</t>
  </si>
  <si>
    <t>Trailblazer reloaded trousers (t2)</t>
  </si>
  <si>
    <t>Trailblazer reloaded trousers (t3)</t>
  </si>
  <si>
    <t>Trailblazer reloaded vengeance scroll</t>
  </si>
  <si>
    <t>Trailblazer rug</t>
  </si>
  <si>
    <t>Trailblazer teleport scroll</t>
  </si>
  <si>
    <t>Trailblazer tool ornament kit</t>
  </si>
  <si>
    <t>Trailblazer top (t1)</t>
  </si>
  <si>
    <t>Trailblazer top (t2)</t>
  </si>
  <si>
    <t>Trailblazer top (t3)</t>
  </si>
  <si>
    <t>Trailblazer trousers (t1)</t>
  </si>
  <si>
    <t>Trailblazer trousers (t2)</t>
  </si>
  <si>
    <t>Trailblazer trousers (t3)</t>
  </si>
  <si>
    <t>Trapper's tipple</t>
  </si>
  <si>
    <t>Treasonous ring</t>
  </si>
  <si>
    <t>Triangle sandwich</t>
  </si>
  <si>
    <t>Tribal mask (combat)</t>
  </si>
  <si>
    <t>Tribal mask (disease)</t>
  </si>
  <si>
    <t>Tribal mask (poison)</t>
  </si>
  <si>
    <t>Tribal top (blue)</t>
  </si>
  <si>
    <t>Tribal top (brown)</t>
  </si>
  <si>
    <t>Tribal top (pink)</t>
  </si>
  <si>
    <t>Tribal top (yellow)</t>
  </si>
  <si>
    <t>Trident of the seas (full)</t>
  </si>
  <si>
    <t>Trinket of advanced weaponry</t>
  </si>
  <si>
    <t>Trinket of avarice</t>
  </si>
  <si>
    <t>Trinket of fairies</t>
  </si>
  <si>
    <t>Trinket of fortuity (active)</t>
  </si>
  <si>
    <t>Trinket of fortuity (inactive)</t>
  </si>
  <si>
    <t>Trinket of undead</t>
  </si>
  <si>
    <t>Trinket of vengeance</t>
  </si>
  <si>
    <t>Trousers (blue)</t>
  </si>
  <si>
    <t>Trousers (brown)</t>
  </si>
  <si>
    <t>Trousers (lilac)</t>
  </si>
  <si>
    <t>Trout</t>
  </si>
  <si>
    <t>Trouver parchment</t>
  </si>
  <si>
    <t>Tumeken's shadow (uncharged)</t>
  </si>
  <si>
    <t>Tuna</t>
  </si>
  <si>
    <t>Tuna and corn</t>
  </si>
  <si>
    <t>Tuna potato</t>
  </si>
  <si>
    <t>Turquoise boots</t>
  </si>
  <si>
    <t>Turquoise hat</t>
  </si>
  <si>
    <t>Turquoise robe bottoms</t>
  </si>
  <si>
    <t>Turquoise robe top</t>
  </si>
  <si>
    <t>Twinflame staff</t>
  </si>
  <si>
    <t>Twisted banner</t>
  </si>
  <si>
    <t>Twisted blueprints</t>
  </si>
  <si>
    <t>Twisted boots (t1)</t>
  </si>
  <si>
    <t>Twisted boots (t2)</t>
  </si>
  <si>
    <t>Twisted boots (t3)</t>
  </si>
  <si>
    <t>Twisted bow</t>
  </si>
  <si>
    <t>Twisted buckler</t>
  </si>
  <si>
    <t>Twisted cane</t>
  </si>
  <si>
    <t>Twisted coat (t1)</t>
  </si>
  <si>
    <t>Twisted coat (t2)</t>
  </si>
  <si>
    <t>Twisted coat (t3)</t>
  </si>
  <si>
    <t>Twisted hat (t1)</t>
  </si>
  <si>
    <t>Twisted hat (t2)</t>
  </si>
  <si>
    <t>Twisted hat (t3)</t>
  </si>
  <si>
    <t>Twisted horns</t>
  </si>
  <si>
    <t>Twisted relic hunter (t1) armour set</t>
  </si>
  <si>
    <t>Twisted relic hunter (t2) armour set</t>
  </si>
  <si>
    <t>Twisted relic hunter (t3) armour set</t>
  </si>
  <si>
    <t>Twisted teleport scroll</t>
  </si>
  <si>
    <t>Twisted trousers (t1)</t>
  </si>
  <si>
    <t>Twisted trousers (t2)</t>
  </si>
  <si>
    <t>Twisted trousers (t3)</t>
  </si>
  <si>
    <t>Tyrannical ring</t>
  </si>
  <si>
    <t>Tyras helm</t>
  </si>
  <si>
    <t>Tzhaar-ket-em</t>
  </si>
  <si>
    <t>Tzhaar-ket-om</t>
  </si>
  <si>
    <t>Tzhaar-ket-om ornament kit</t>
  </si>
  <si>
    <t>Ugthanki &amp; onion</t>
  </si>
  <si>
    <t>Ugthanki &amp; tomato</t>
  </si>
  <si>
    <t>Ugthanki kebab</t>
  </si>
  <si>
    <t>Ugthanki meat</t>
  </si>
  <si>
    <t>Ultor ring</t>
  </si>
  <si>
    <t>Ultracompost</t>
  </si>
  <si>
    <t>Umbral coral</t>
  </si>
  <si>
    <t>Umbral frag</t>
  </si>
  <si>
    <t>Unblessed symbol</t>
  </si>
  <si>
    <t>Uncharged toxic trident</t>
  </si>
  <si>
    <t>Uncharged toxic trident (e)</t>
  </si>
  <si>
    <t>Uncharged trident</t>
  </si>
  <si>
    <t>Uncharged trident (e)</t>
  </si>
  <si>
    <t>Uncooked apple pie</t>
  </si>
  <si>
    <t>Uncooked berry pie</t>
  </si>
  <si>
    <t>Uncooked botanical pie</t>
  </si>
  <si>
    <t>Uncooked dragonfruit pie</t>
  </si>
  <si>
    <t>Uncooked egg</t>
  </si>
  <si>
    <t>Uncooked meat pie</t>
  </si>
  <si>
    <t>Uncooked mushroom pie</t>
  </si>
  <si>
    <t>Uncut diamond</t>
  </si>
  <si>
    <t>Uncut dragonstone</t>
  </si>
  <si>
    <t>Uncut emerald</t>
  </si>
  <si>
    <t>Uncut jade</t>
  </si>
  <si>
    <t>Uncut onyx</t>
  </si>
  <si>
    <t>Uncut opal</t>
  </si>
  <si>
    <t>Uncut red topaz</t>
  </si>
  <si>
    <t>Uncut ruby</t>
  </si>
  <si>
    <t>Uncut sapphire</t>
  </si>
  <si>
    <t>Uncut zenyte</t>
  </si>
  <si>
    <t>Unfinished broad bolts</t>
  </si>
  <si>
    <t>Unfinished potion</t>
  </si>
  <si>
    <t>Unfired bowl</t>
  </si>
  <si>
    <t>Unfired cup</t>
  </si>
  <si>
    <t>Unfired pie dish</t>
  </si>
  <si>
    <t>Unfired plant pot</t>
  </si>
  <si>
    <t>Unfired pot</t>
  </si>
  <si>
    <t>Unfired pot lid</t>
  </si>
  <si>
    <t>Unholy blessing</t>
  </si>
  <si>
    <t>Unholy book page set</t>
  </si>
  <si>
    <t>Unholy symbol</t>
  </si>
  <si>
    <t>Unicorn horn</t>
  </si>
  <si>
    <t>Unlit bug lantern</t>
  </si>
  <si>
    <t>Unlit torch</t>
  </si>
  <si>
    <t>Unpowered orb</t>
  </si>
  <si>
    <t>Unpowered symbol</t>
  </si>
  <si>
    <t>Unstrung comp bow</t>
  </si>
  <si>
    <t>Unstrung emblem</t>
  </si>
  <si>
    <t>Unstrung heavy ballista</t>
  </si>
  <si>
    <t>Unstrung light ballista</t>
  </si>
  <si>
    <t>Unstrung symbol</t>
  </si>
  <si>
    <t>Uri's hat</t>
  </si>
  <si>
    <t>Urium remains</t>
  </si>
  <si>
    <t>Ursine chainmace (u)</t>
  </si>
  <si>
    <t>Urt salt</t>
  </si>
  <si>
    <t>Vampyre dust</t>
  </si>
  <si>
    <t>Varlamorian kebab</t>
  </si>
  <si>
    <t>Varrock teleport (tablet)</t>
  </si>
  <si>
    <t>Veg ball</t>
  </si>
  <si>
    <t>Vegetable batta</t>
  </si>
  <si>
    <t>Venator bow (uncharged)</t>
  </si>
  <si>
    <t>Venator ring</t>
  </si>
  <si>
    <t>Venator shard</t>
  </si>
  <si>
    <t>Verac's armour set</t>
  </si>
  <si>
    <t>Verac's brassard</t>
  </si>
  <si>
    <t>Verac's brassard 0</t>
  </si>
  <si>
    <t>Verac's flail</t>
  </si>
  <si>
    <t>Verac's flail 0</t>
  </si>
  <si>
    <t>Verac's helm</t>
  </si>
  <si>
    <t>Verac's helm 0</t>
  </si>
  <si>
    <t>Verac's plateskirt</t>
  </si>
  <si>
    <t>Verac's plateskirt 0</t>
  </si>
  <si>
    <t>Vesta's chainbody</t>
  </si>
  <si>
    <t>Vesta's longsword</t>
  </si>
  <si>
    <t>Vesta's plateskirt</t>
  </si>
  <si>
    <t>Vesta's spear</t>
  </si>
  <si>
    <t>Vial</t>
  </si>
  <si>
    <t>Vial of blood</t>
  </si>
  <si>
    <t>Vial of water</t>
  </si>
  <si>
    <t>Viggora's chainmace (u)</t>
  </si>
  <si>
    <t>Vile ashes</t>
  </si>
  <si>
    <t>Villager armband (blue)</t>
  </si>
  <si>
    <t>Villager armband (brown)</t>
  </si>
  <si>
    <t>Villager armband (pink)</t>
  </si>
  <si>
    <t>Villager armband (yellow)</t>
  </si>
  <si>
    <t>Villager hat (blue)</t>
  </si>
  <si>
    <t>Villager hat (brown)</t>
  </si>
  <si>
    <t>Villager hat (pink)</t>
  </si>
  <si>
    <t>Villager hat (yellow)</t>
  </si>
  <si>
    <t>Villager robe (blue)</t>
  </si>
  <si>
    <t>Villager robe (brown)</t>
  </si>
  <si>
    <t>Villager robe (pink)</t>
  </si>
  <si>
    <t>Villager robe (yellow)</t>
  </si>
  <si>
    <t>Villager sandals (blue)</t>
  </si>
  <si>
    <t>Villager sandals (brown)</t>
  </si>
  <si>
    <t>Villager sandals (pink)</t>
  </si>
  <si>
    <t>Villager sandals (yellow)</t>
  </si>
  <si>
    <t>Virtus armour set</t>
  </si>
  <si>
    <t>Virtus mask</t>
  </si>
  <si>
    <t>Virtus robe bottom</t>
  </si>
  <si>
    <t>Virtus robe top</t>
  </si>
  <si>
    <t>Vodka</t>
  </si>
  <si>
    <t>Voidwaker</t>
  </si>
  <si>
    <t>Voidwaker blade</t>
  </si>
  <si>
    <t>Voidwaker gem</t>
  </si>
  <si>
    <t>Voidwaker hilt</t>
  </si>
  <si>
    <t>Volatile orb</t>
  </si>
  <si>
    <t>Volcanic whip mix</t>
  </si>
  <si>
    <t>Vulnerability charm</t>
  </si>
  <si>
    <t>Vyrewatch legs</t>
  </si>
  <si>
    <t>Vyrewatch shoes</t>
  </si>
  <si>
    <t>Vyrewatch top</t>
  </si>
  <si>
    <t>War blessing</t>
  </si>
  <si>
    <t>Ward upgrade kit</t>
  </si>
  <si>
    <t>Warped sceptre</t>
  </si>
  <si>
    <t>Warped sceptre (uncharged)</t>
  </si>
  <si>
    <t>Warrior helm</t>
  </si>
  <si>
    <t>Warrior icon</t>
  </si>
  <si>
    <t>Warrior ring</t>
  </si>
  <si>
    <t>Watchtower teleport (tablet)</t>
  </si>
  <si>
    <t>Water battlestaff</t>
  </si>
  <si>
    <t>Water orb</t>
  </si>
  <si>
    <t>Water rune</t>
  </si>
  <si>
    <t>Water talisman</t>
  </si>
  <si>
    <t>Water tiara</t>
  </si>
  <si>
    <t>Waterbirth teleport (tablet)</t>
  </si>
  <si>
    <t>Watering can</t>
  </si>
  <si>
    <t>Watermelon</t>
  </si>
  <si>
    <t>Watermelon seed</t>
  </si>
  <si>
    <t>Watermelon slice</t>
  </si>
  <si>
    <t>Waterskin(0)</t>
  </si>
  <si>
    <t>Waterskin(4)</t>
  </si>
  <si>
    <t>Watson teleport</t>
  </si>
  <si>
    <t>Weapon poison(++)</t>
  </si>
  <si>
    <t>Webweaver bow (u)</t>
  </si>
  <si>
    <t>Weeds</t>
  </si>
  <si>
    <t>West ardougne teleport (tablet)</t>
  </si>
  <si>
    <t>Whisky</t>
  </si>
  <si>
    <t>White 2h sword</t>
  </si>
  <si>
    <t>White apron</t>
  </si>
  <si>
    <t>White battleaxe</t>
  </si>
  <si>
    <t>White bead</t>
  </si>
  <si>
    <t>White beret</t>
  </si>
  <si>
    <t>White boater</t>
  </si>
  <si>
    <t>White boots</t>
  </si>
  <si>
    <t>White cavalier</t>
  </si>
  <si>
    <t>White chainbody</t>
  </si>
  <si>
    <t>White claws</t>
  </si>
  <si>
    <t>White dagger</t>
  </si>
  <si>
    <t>White dagger(p)</t>
  </si>
  <si>
    <t>White dagger(p+)</t>
  </si>
  <si>
    <t>White dagger(p++)</t>
  </si>
  <si>
    <t>White dark bow paint</t>
  </si>
  <si>
    <t>White elegant blouse</t>
  </si>
  <si>
    <t>White elegant skirt</t>
  </si>
  <si>
    <t>White firelighter</t>
  </si>
  <si>
    <t>White flowers</t>
  </si>
  <si>
    <t>White full helm</t>
  </si>
  <si>
    <t>White gloves</t>
  </si>
  <si>
    <t>White halberd</t>
  </si>
  <si>
    <t>White headband</t>
  </si>
  <si>
    <t>White kiteshield</t>
  </si>
  <si>
    <t>White lily</t>
  </si>
  <si>
    <t>White lily seed</t>
  </si>
  <si>
    <t>White longsword</t>
  </si>
  <si>
    <t>White mace</t>
  </si>
  <si>
    <t>White magic staff</t>
  </si>
  <si>
    <t>White med helm</t>
  </si>
  <si>
    <t>White partyhat</t>
  </si>
  <si>
    <t>White platebody</t>
  </si>
  <si>
    <t>White platelegs</t>
  </si>
  <si>
    <t>White plateskirt</t>
  </si>
  <si>
    <t>White scimitar</t>
  </si>
  <si>
    <t>White sq shield</t>
  </si>
  <si>
    <t>White sword</t>
  </si>
  <si>
    <t>White toy horsey</t>
  </si>
  <si>
    <t>White unicorn mask</t>
  </si>
  <si>
    <t>White warhammer</t>
  </si>
  <si>
    <t>Whiteberry seed</t>
  </si>
  <si>
    <t>Wild pie</t>
  </si>
  <si>
    <t>Wildblood hops</t>
  </si>
  <si>
    <t>Wildblood seed</t>
  </si>
  <si>
    <t>Wilderness crabs teleport</t>
  </si>
  <si>
    <t>Willow bird house</t>
  </si>
  <si>
    <t>Willow blackjack</t>
  </si>
  <si>
    <t>Willow blackjack(d)</t>
  </si>
  <si>
    <t>Willow blackjack(o)</t>
  </si>
  <si>
    <t>Willow branch</t>
  </si>
  <si>
    <t>Willow comp bow</t>
  </si>
  <si>
    <t>Willow leaves</t>
  </si>
  <si>
    <t>Willow logs</t>
  </si>
  <si>
    <t>Willow longbow</t>
  </si>
  <si>
    <t>Willow longbow (u)</t>
  </si>
  <si>
    <t>Willow pyre logs</t>
  </si>
  <si>
    <t>Willow roots</t>
  </si>
  <si>
    <t>Willow sapling</t>
  </si>
  <si>
    <t>Willow seed</t>
  </si>
  <si>
    <t>Willow shield</t>
  </si>
  <si>
    <t>Willow shortbow</t>
  </si>
  <si>
    <t>Willow shortbow (u)</t>
  </si>
  <si>
    <t>Willow stock</t>
  </si>
  <si>
    <t>Wizard blizzard</t>
  </si>
  <si>
    <t>Wizard boots</t>
  </si>
  <si>
    <t>Wizard hat</t>
  </si>
  <si>
    <t>Wizard's mind bomb</t>
  </si>
  <si>
    <t>Woad leaf</t>
  </si>
  <si>
    <t>Woad seed</t>
  </si>
  <si>
    <t>Wolf bones</t>
  </si>
  <si>
    <t>Wolf cloak</t>
  </si>
  <si>
    <t>Wolf mask</t>
  </si>
  <si>
    <t>Wolfbone arrowtips</t>
  </si>
  <si>
    <t>Wood camo legs</t>
  </si>
  <si>
    <t>Wood camo legs (equipped)</t>
  </si>
  <si>
    <t>Wood camo top</t>
  </si>
  <si>
    <t>Wood camo top (equipped)</t>
  </si>
  <si>
    <t>Wood dining table (flatpack)</t>
  </si>
  <si>
    <t>Wooden bed (flatpack)</t>
  </si>
  <si>
    <t>Wooden bench (flatpack)</t>
  </si>
  <si>
    <t>Wooden cat</t>
  </si>
  <si>
    <t>Wooden chair (flatpack)</t>
  </si>
  <si>
    <t>Wooden hull parts</t>
  </si>
  <si>
    <t>Wooden shield</t>
  </si>
  <si>
    <t>Wooden shield (g)</t>
  </si>
  <si>
    <t>Wooden spoon</t>
  </si>
  <si>
    <t>Wooden stock</t>
  </si>
  <si>
    <t>Wool</t>
  </si>
  <si>
    <t>Worm batta</t>
  </si>
  <si>
    <t>Worm crunchies</t>
  </si>
  <si>
    <t>Worm hole</t>
  </si>
  <si>
    <t>Woven top (blue)</t>
  </si>
  <si>
    <t>Woven top (brown)</t>
  </si>
  <si>
    <t>Woven top (yellow)</t>
  </si>
  <si>
    <t>Wrapped oomlie</t>
  </si>
  <si>
    <t>Wrath rune</t>
  </si>
  <si>
    <t>Wrath talisman</t>
  </si>
  <si>
    <t>Wrath tiara</t>
  </si>
  <si>
    <t>Wyrm bones</t>
  </si>
  <si>
    <t>Wyrmling bones</t>
  </si>
  <si>
    <t>Wyvern bones</t>
  </si>
  <si>
    <t>Wyvern visage</t>
  </si>
  <si>
    <t>Xerician fabric</t>
  </si>
  <si>
    <t>Xerician hat</t>
  </si>
  <si>
    <t>Xerician robe</t>
  </si>
  <si>
    <t>Xerician top</t>
  </si>
  <si>
    <t>Yak-hide</t>
  </si>
  <si>
    <t>Yak-hide armour (legs)</t>
  </si>
  <si>
    <t>Yak-hide armour (top)</t>
  </si>
  <si>
    <t>Yanillian hops</t>
  </si>
  <si>
    <t>Yanillian seed</t>
  </si>
  <si>
    <t>Yellow bead</t>
  </si>
  <si>
    <t>Yellow boots</t>
  </si>
  <si>
    <t>Yellow cape</t>
  </si>
  <si>
    <t>Yellow dark bow paint</t>
  </si>
  <si>
    <t>Yellow dye</t>
  </si>
  <si>
    <t>Yellow feather</t>
  </si>
  <si>
    <t>Yellow flowers</t>
  </si>
  <si>
    <t>Yellow gloves</t>
  </si>
  <si>
    <t>Yellow hat</t>
  </si>
  <si>
    <t>Yellow partyhat</t>
  </si>
  <si>
    <t>Yellow robe bottoms</t>
  </si>
  <si>
    <t>Yellow robe top</t>
  </si>
  <si>
    <t>Yellowfin</t>
  </si>
  <si>
    <t>Yew bird house</t>
  </si>
  <si>
    <t>Yew comp bow</t>
  </si>
  <si>
    <t>Yew leaves</t>
  </si>
  <si>
    <t>Yew logs</t>
  </si>
  <si>
    <t>Yew longbow</t>
  </si>
  <si>
    <t>Yew longbow (u)</t>
  </si>
  <si>
    <t>Yew pyre logs</t>
  </si>
  <si>
    <t>Yew sapling</t>
  </si>
  <si>
    <t>Yew seed</t>
  </si>
  <si>
    <t>Yew shield</t>
  </si>
  <si>
    <t>Yew shortbow</t>
  </si>
  <si>
    <t>Yew shortbow (u)</t>
  </si>
  <si>
    <t>Yew stock</t>
  </si>
  <si>
    <t>Young impling jar</t>
  </si>
  <si>
    <t>Zalcano shard</t>
  </si>
  <si>
    <t>Zamorak armour set (lg)</t>
  </si>
  <si>
    <t>Zamorak armour set (sk)</t>
  </si>
  <si>
    <t>Zamorak bracers</t>
  </si>
  <si>
    <t>Zamorak brew(1)</t>
  </si>
  <si>
    <t>Zamorak brew(2)</t>
  </si>
  <si>
    <t>Zamorak brew(3)</t>
  </si>
  <si>
    <t>Zamorak brew(4)</t>
  </si>
  <si>
    <t>Zamorak chaps</t>
  </si>
  <si>
    <t>Zamorak cloak</t>
  </si>
  <si>
    <t>Zamorak coif</t>
  </si>
  <si>
    <t>Zamorak crozier</t>
  </si>
  <si>
    <t>Zamorak d'hide body</t>
  </si>
  <si>
    <t>Zamorak d'hide boots</t>
  </si>
  <si>
    <t>Zamorak d'hide shield</t>
  </si>
  <si>
    <t>Zamorak dragonhide set</t>
  </si>
  <si>
    <t>Zamorak full helm</t>
  </si>
  <si>
    <t>Zamorak godsword</t>
  </si>
  <si>
    <t>Zamorak godsword ornament kit</t>
  </si>
  <si>
    <t>Zamorak hilt</t>
  </si>
  <si>
    <t>Zamorak kiteshield</t>
  </si>
  <si>
    <t>Zamorak mitre</t>
  </si>
  <si>
    <t>Zamorak mix(1)</t>
  </si>
  <si>
    <t>Zamorak mix(2)</t>
  </si>
  <si>
    <t>Zamorak mjolnir</t>
  </si>
  <si>
    <t>Zamorak monk bottom</t>
  </si>
  <si>
    <t>Zamorak monk top</t>
  </si>
  <si>
    <t>Zamorak page 1</t>
  </si>
  <si>
    <t>Zamorak page 2</t>
  </si>
  <si>
    <t>Zamorak page 3</t>
  </si>
  <si>
    <t>Zamorak page 4</t>
  </si>
  <si>
    <t>Zamorak platebody</t>
  </si>
  <si>
    <t>Zamorak platelegs</t>
  </si>
  <si>
    <t>Zamorak plateskirt</t>
  </si>
  <si>
    <t>Zamorak robe legs</t>
  </si>
  <si>
    <t>Zamorak robe top</t>
  </si>
  <si>
    <t>Zamorak stole</t>
  </si>
  <si>
    <t>Zamorak's grapes</t>
  </si>
  <si>
    <t>Zamorakian hasta</t>
  </si>
  <si>
    <t>Zamorakian spear</t>
  </si>
  <si>
    <t>Zaryte crossbow</t>
  </si>
  <si>
    <t>Zaryte vambraces</t>
  </si>
  <si>
    <t>Zenyte</t>
  </si>
  <si>
    <t>Zenyte amulet</t>
  </si>
  <si>
    <t>Zenyte amulet (u)</t>
  </si>
  <si>
    <t>Zenyte bracelet</t>
  </si>
  <si>
    <t>Zenyte necklace</t>
  </si>
  <si>
    <t>Zenyte ring</t>
  </si>
  <si>
    <t>Zenyte shard</t>
  </si>
  <si>
    <t>Zogre bones</t>
  </si>
  <si>
    <t>Zombie axe</t>
  </si>
  <si>
    <t>Zombie head (Treasure Trails)</t>
  </si>
  <si>
    <t>Zombie helmet</t>
  </si>
  <si>
    <t>Zombie pirate key</t>
  </si>
  <si>
    <t>Zul-andra teleport</t>
  </si>
  <si>
    <t>Zuriel's hood</t>
  </si>
  <si>
    <t>Zuriel's robe bottom</t>
  </si>
  <si>
    <t>Zuriel's robe top</t>
  </si>
  <si>
    <t>Zuriel's staff</t>
  </si>
  <si>
    <t>Config</t>
  </si>
  <si>
    <t>Input Price</t>
  </si>
  <si>
    <t>low</t>
  </si>
  <si>
    <t>Output Price</t>
  </si>
  <si>
    <t>Discord handle</t>
  </si>
  <si>
    <t>E-mail address</t>
  </si>
  <si>
    <t>Prescription Goggles</t>
  </si>
  <si>
    <t>Alchemist's amulet</t>
  </si>
  <si>
    <t>Effective Charge</t>
  </si>
  <si>
    <t>Quart</t>
  </si>
  <si>
    <t>Quart Cnt</t>
  </si>
  <si>
    <t>Quart Price</t>
  </si>
  <si>
    <t>Quart w/ Goggle</t>
  </si>
  <si>
    <t>mserbet</t>
  </si>
  <si>
    <t>meserbetcioglu@gmail.com</t>
  </si>
  <si>
    <t>Decant to 4</t>
  </si>
  <si>
    <t>Pot(3)(Decant)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</si>
</sst>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name val="Calibri"/>
    </font>
    <font>
      <b/>
      <sz val="11"/>
      <color theme="1"/>
      <name val="Calibri"/>
      <family val="2"/>
      <charset val="162"/>
      <scheme val="minor"/>
    </font>
    <font>
      <b/>
      <sz val="11"/>
      <color rgb="FF9C5700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b/>
      <sz val="11"/>
      <name val="Calibri"/>
      <family val="2"/>
      <charset val="162"/>
    </font>
    <font>
      <sz val="11"/>
      <color rgb="FF000000"/>
      <name val="Calibri"/>
      <family val="2"/>
      <charset val="16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ck">
        <color auto="1"/>
      </bottom>
      <diagonal/>
    </border>
  </borders>
  <cellStyleXfs count="4">
    <xf numFmtId="0" fontId="0" fillId="0" borderId="0"/>
    <xf numFmtId="0" fontId="1" fillId="2" borderId="0"/>
    <xf numFmtId="0" fontId="2" fillId="3" borderId="1"/>
    <xf numFmtId="0" fontId="9" fillId="0" borderId="0" applyNumberFormat="0" applyFill="0" applyBorder="0" applyAlignment="0" applyProtection="0"/>
  </cellStyleXfs>
  <cellXfs count="56">
    <xf numFmtId="0" fontId="0" fillId="0" borderId="0" xfId="0"/>
    <xf numFmtId="2" fontId="0" fillId="0" borderId="0" xfId="0" applyNumberFormat="1"/>
    <xf numFmtId="0" fontId="4" fillId="0" borderId="0" xfId="0" applyFont="1"/>
    <xf numFmtId="164" fontId="0" fillId="0" borderId="0" xfId="0" applyNumberFormat="1"/>
    <xf numFmtId="1" fontId="0" fillId="0" borderId="0" xfId="0" applyNumberFormat="1"/>
    <xf numFmtId="0" fontId="0" fillId="7" borderId="2" xfId="0" applyFill="1" applyBorder="1"/>
    <xf numFmtId="0" fontId="0" fillId="8" borderId="2" xfId="0" applyFill="1" applyBorder="1"/>
    <xf numFmtId="0" fontId="0" fillId="9" borderId="2" xfId="0" applyFill="1" applyBorder="1"/>
    <xf numFmtId="0" fontId="0" fillId="5" borderId="2" xfId="0" applyFill="1" applyBorder="1"/>
    <xf numFmtId="2" fontId="0" fillId="0" borderId="2" xfId="0" applyNumberFormat="1" applyBorder="1"/>
    <xf numFmtId="1" fontId="0" fillId="0" borderId="2" xfId="0" applyNumberFormat="1" applyBorder="1"/>
    <xf numFmtId="2" fontId="0" fillId="10" borderId="2" xfId="0" applyNumberFormat="1" applyFill="1" applyBorder="1"/>
    <xf numFmtId="0" fontId="3" fillId="0" borderId="2" xfId="0" applyFont="1" applyBorder="1"/>
    <xf numFmtId="0" fontId="4" fillId="4" borderId="3" xfId="0" applyFont="1" applyFill="1" applyBorder="1"/>
    <xf numFmtId="0" fontId="4" fillId="4" borderId="4" xfId="0" applyFont="1" applyFill="1" applyBorder="1"/>
    <xf numFmtId="2" fontId="4" fillId="4" borderId="4" xfId="0" applyNumberFormat="1" applyFont="1" applyFill="1" applyBorder="1"/>
    <xf numFmtId="2" fontId="6" fillId="4" borderId="4" xfId="2" applyNumberFormat="1" applyFont="1" applyFill="1" applyBorder="1"/>
    <xf numFmtId="1" fontId="5" fillId="4" borderId="4" xfId="1" applyNumberFormat="1" applyFont="1" applyFill="1" applyBorder="1"/>
    <xf numFmtId="1" fontId="4" fillId="4" borderId="4" xfId="0" applyNumberFormat="1" applyFont="1" applyFill="1" applyBorder="1"/>
    <xf numFmtId="1" fontId="6" fillId="4" borderId="4" xfId="2" applyNumberFormat="1" applyFont="1" applyFill="1" applyBorder="1"/>
    <xf numFmtId="0" fontId="7" fillId="4" borderId="4" xfId="0" applyFont="1" applyFill="1" applyBorder="1"/>
    <xf numFmtId="1" fontId="7" fillId="4" borderId="5" xfId="0" applyNumberFormat="1" applyFont="1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9" xfId="0" applyFill="1" applyBorder="1"/>
    <xf numFmtId="0" fontId="0" fillId="7" borderId="9" xfId="0" applyFill="1" applyBorder="1"/>
    <xf numFmtId="0" fontId="0" fillId="8" borderId="9" xfId="0" applyFill="1" applyBorder="1"/>
    <xf numFmtId="0" fontId="0" fillId="9" borderId="9" xfId="0" applyFill="1" applyBorder="1"/>
    <xf numFmtId="1" fontId="0" fillId="0" borderId="9" xfId="0" applyNumberFormat="1" applyBorder="1"/>
    <xf numFmtId="0" fontId="3" fillId="0" borderId="9" xfId="0" applyFont="1" applyBorder="1"/>
    <xf numFmtId="1" fontId="7" fillId="4" borderId="4" xfId="0" applyNumberFormat="1" applyFont="1" applyFill="1" applyBorder="1"/>
    <xf numFmtId="0" fontId="0" fillId="5" borderId="6" xfId="0" applyFill="1" applyBorder="1"/>
    <xf numFmtId="0" fontId="0" fillId="5" borderId="8" xfId="0" applyFill="1" applyBorder="1"/>
    <xf numFmtId="1" fontId="0" fillId="0" borderId="7" xfId="0" applyNumberFormat="1" applyBorder="1"/>
    <xf numFmtId="1" fontId="0" fillId="0" borderId="10" xfId="0" applyNumberFormat="1" applyBorder="1"/>
    <xf numFmtId="0" fontId="4" fillId="4" borderId="5" xfId="0" applyFont="1" applyFill="1" applyBorder="1"/>
    <xf numFmtId="0" fontId="0" fillId="9" borderId="7" xfId="0" applyFill="1" applyBorder="1"/>
    <xf numFmtId="22" fontId="0" fillId="0" borderId="0" xfId="0" applyNumberFormat="1"/>
    <xf numFmtId="164" fontId="4" fillId="4" borderId="3" xfId="0" applyNumberFormat="1" applyFont="1" applyFill="1" applyBorder="1"/>
    <xf numFmtId="164" fontId="4" fillId="4" borderId="4" xfId="0" applyNumberFormat="1" applyFont="1" applyFill="1" applyBorder="1"/>
    <xf numFmtId="164" fontId="4" fillId="4" borderId="5" xfId="0" applyNumberFormat="1" applyFont="1" applyFill="1" applyBorder="1"/>
    <xf numFmtId="164" fontId="0" fillId="7" borderId="6" xfId="0" applyNumberFormat="1" applyFill="1" applyBorder="1"/>
    <xf numFmtId="164" fontId="0" fillId="8" borderId="2" xfId="0" applyNumberFormat="1" applyFill="1" applyBorder="1"/>
    <xf numFmtId="164" fontId="0" fillId="9" borderId="7" xfId="0" applyNumberFormat="1" applyFill="1" applyBorder="1"/>
    <xf numFmtId="164" fontId="0" fillId="5" borderId="6" xfId="0" applyNumberFormat="1" applyFill="1" applyBorder="1"/>
    <xf numFmtId="164" fontId="0" fillId="7" borderId="2" xfId="0" applyNumberFormat="1" applyFill="1" applyBorder="1"/>
    <xf numFmtId="0" fontId="9" fillId="0" borderId="0" xfId="3"/>
    <xf numFmtId="2" fontId="0" fillId="5" borderId="2" xfId="0" applyNumberFormat="1" applyFill="1" applyBorder="1"/>
    <xf numFmtId="2" fontId="0" fillId="0" borderId="9" xfId="0" applyNumberFormat="1" applyBorder="1"/>
    <xf numFmtId="2" fontId="0" fillId="10" borderId="9" xfId="0" applyNumberFormat="1" applyFill="1" applyBorder="1"/>
    <xf numFmtId="0" fontId="0" fillId="9" borderId="10" xfId="0" applyFill="1" applyBorder="1"/>
    <xf numFmtId="164" fontId="0" fillId="7" borderId="8" xfId="0" applyNumberFormat="1" applyFill="1" applyBorder="1"/>
    <xf numFmtId="164" fontId="0" fillId="8" borderId="9" xfId="0" applyNumberFormat="1" applyFill="1" applyBorder="1"/>
    <xf numFmtId="164" fontId="0" fillId="9" borderId="10" xfId="0" applyNumberFormat="1" applyFill="1" applyBorder="1"/>
    <xf numFmtId="0" fontId="0" fillId="0" borderId="11" xfId="0" applyBorder="1"/>
    <xf numFmtId="0" fontId="0" fillId="0" borderId="0" xfId="0" applyBorder="1"/>
  </cellXfs>
  <cellStyles count="4">
    <cellStyle name="Calculation" xfId="2" builtinId="22"/>
    <cellStyle name="Hyperlink" xfId="3" builtinId="8"/>
    <cellStyle name="Neutral" xfId="1" builtinId="28"/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612587</xdr:colOff>
          <xdr:row>0</xdr:row>
          <xdr:rowOff>0</xdr:rowOff>
        </xdr:from>
        <xdr:to>
          <xdr:col>34</xdr:col>
          <xdr:colOff>7470</xdr:colOff>
          <xdr:row>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Prices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meserbetcioglu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77"/>
  <sheetViews>
    <sheetView tabSelected="1" zoomScale="85" zoomScaleNormal="85" workbookViewId="0">
      <pane ySplit="1" topLeftCell="A2" activePane="bottomLeft" state="frozen"/>
      <selection pane="bottomLeft" activeCell="AB14" sqref="AB14"/>
    </sheetView>
  </sheetViews>
  <sheetFormatPr defaultColWidth="8.7265625" defaultRowHeight="14.5" x14ac:dyDescent="0.35"/>
  <cols>
    <col min="1" max="1" width="27.1796875" bestFit="1" customWidth="1"/>
    <col min="2" max="2" width="25.36328125" bestFit="1" customWidth="1"/>
    <col min="3" max="3" width="27.453125" bestFit="1" customWidth="1"/>
    <col min="4" max="4" width="15.6328125" bestFit="1" customWidth="1"/>
    <col min="5" max="5" width="8.54296875" bestFit="1" customWidth="1"/>
    <col min="6" max="6" width="11" bestFit="1" customWidth="1"/>
    <col min="7" max="7" width="9.81640625" bestFit="1" customWidth="1"/>
    <col min="8" max="8" width="10.453125" bestFit="1" customWidth="1"/>
    <col min="9" max="9" width="11.81640625" bestFit="1" customWidth="1"/>
    <col min="10" max="10" width="12.36328125" style="3" bestFit="1" customWidth="1"/>
    <col min="11" max="11" width="11.1796875" style="3" bestFit="1" customWidth="1"/>
    <col min="12" max="12" width="11.81640625" style="3" bestFit="1" customWidth="1"/>
    <col min="13" max="13" width="13.26953125" style="3" bestFit="1" customWidth="1"/>
    <col min="14" max="14" width="15.6328125" style="3" hidden="1" customWidth="1"/>
    <col min="15" max="15" width="16.26953125" style="3" hidden="1" customWidth="1"/>
    <col min="16" max="16" width="17.7265625" style="3" hidden="1" customWidth="1"/>
    <col min="17" max="17" width="21.1796875" style="4" hidden="1" customWidth="1"/>
    <col min="18" max="18" width="9.54296875" hidden="1" customWidth="1"/>
    <col min="19" max="19" width="17.54296875" hidden="1" customWidth="1"/>
    <col min="20" max="20" width="9" style="1" hidden="1" customWidth="1"/>
    <col min="21" max="23" width="8.81640625" style="4" hidden="1" customWidth="1"/>
    <col min="24" max="24" width="7.1796875" style="4" bestFit="1" customWidth="1"/>
    <col min="25" max="25" width="13" style="4" bestFit="1" customWidth="1"/>
    <col min="26" max="26" width="9.6328125" bestFit="1" customWidth="1"/>
    <col min="27" max="27" width="6.6328125" style="3" bestFit="1" customWidth="1"/>
    <col min="28" max="28" width="9.81640625" bestFit="1" customWidth="1"/>
    <col min="29" max="29" width="13.453125" hidden="1" customWidth="1"/>
    <col min="30" max="30" width="14" style="4" bestFit="1" customWidth="1"/>
    <col min="31" max="31" width="8.08984375" bestFit="1" customWidth="1"/>
  </cols>
  <sheetData>
    <row r="1" spans="1:31" s="2" customFormat="1" ht="15" customHeight="1" thickTop="1" x14ac:dyDescent="0.35">
      <c r="A1" s="13" t="s">
        <v>0</v>
      </c>
      <c r="B1" s="14" t="s">
        <v>1</v>
      </c>
      <c r="C1" s="14" t="s">
        <v>2</v>
      </c>
      <c r="D1" s="14" t="s">
        <v>3</v>
      </c>
      <c r="E1" s="14" t="s">
        <v>4610</v>
      </c>
      <c r="F1" s="13" t="s">
        <v>4</v>
      </c>
      <c r="G1" s="14" t="s">
        <v>5</v>
      </c>
      <c r="H1" s="14" t="s">
        <v>6</v>
      </c>
      <c r="I1" s="35" t="s">
        <v>4611</v>
      </c>
      <c r="J1" s="38" t="s">
        <v>7</v>
      </c>
      <c r="K1" s="39" t="s">
        <v>8</v>
      </c>
      <c r="L1" s="39" t="s">
        <v>9</v>
      </c>
      <c r="M1" s="40" t="s">
        <v>4612</v>
      </c>
      <c r="N1" s="38" t="s">
        <v>10</v>
      </c>
      <c r="O1" s="39" t="s">
        <v>11</v>
      </c>
      <c r="P1" s="40" t="s">
        <v>4613</v>
      </c>
      <c r="Q1" s="18" t="s">
        <v>12</v>
      </c>
      <c r="R1" s="15" t="s">
        <v>13</v>
      </c>
      <c r="S1" s="15" t="s">
        <v>4609</v>
      </c>
      <c r="T1" s="16" t="s">
        <v>14</v>
      </c>
      <c r="U1" s="17" t="s">
        <v>15</v>
      </c>
      <c r="V1" s="17" t="s">
        <v>4617</v>
      </c>
      <c r="W1" s="17" t="s">
        <v>16</v>
      </c>
      <c r="X1" s="18" t="s">
        <v>17</v>
      </c>
      <c r="Y1" s="19" t="s">
        <v>18</v>
      </c>
      <c r="Z1" s="19" t="s">
        <v>19</v>
      </c>
      <c r="AA1" s="19" t="s">
        <v>20</v>
      </c>
      <c r="AB1" s="19" t="s">
        <v>21</v>
      </c>
      <c r="AC1" s="20" t="s">
        <v>22</v>
      </c>
      <c r="AD1" s="30" t="s">
        <v>23</v>
      </c>
      <c r="AE1" s="21" t="s">
        <v>24</v>
      </c>
    </row>
    <row r="2" spans="1:31" x14ac:dyDescent="0.35">
      <c r="A2" s="22" t="s">
        <v>25</v>
      </c>
      <c r="B2" s="8" t="s">
        <v>26</v>
      </c>
      <c r="C2" s="5" t="s">
        <v>27</v>
      </c>
      <c r="D2" s="6"/>
      <c r="E2" s="7"/>
      <c r="F2" s="31">
        <v>1</v>
      </c>
      <c r="G2" s="5">
        <v>3</v>
      </c>
      <c r="H2" s="6">
        <v>0</v>
      </c>
      <c r="I2" s="36">
        <v>0</v>
      </c>
      <c r="J2" s="44">
        <f>IF(ISBLANK(B2),0,IF(Config!$B$2="low", VLOOKUP(B2,Prices!$A:$C,3,FALSE), VLOOKUP(B2,Prices!$A:$C,2,FALSE))*F2)</f>
        <v>14511</v>
      </c>
      <c r="K2" s="45">
        <f>IF(ISBLANK(C2),0,IF(Config!$B$2="low", IF(C2="Crystal dust", VLOOKUP("Enhanced crystal teleport seed",Prices!$A:$C,3,FALSE)/1500, VLOOKUP(C2,Prices!$A:$C,3,FALSE)), IF(C2="Crystal dust", VLOOKUP("Enhanced crystal teleport seed",Prices!$A:$C,2,FALSE)/1500, VLOOKUP(C2,Prices!$A:$C,2,FALSE)))*G2)</f>
        <v>4250.6139999999996</v>
      </c>
      <c r="L2" s="42">
        <f>IF(ISBLANK(D2),0,IF(Config!$B$2="low", IF(D2="Crystal dust", VLOOKUP("Enhanced crystal teleport seed",Prices!$A:$C,3,FALSE)/1500, VLOOKUP(D2,Prices!$A:$C,3,FALSE)), IF(D2="Crystal dust", VLOOKUP("Enhanced crystal teleport seed",Prices!$A:$C,2,FALSE)/1500, VLOOKUP(D2,Prices!$A:$C,2,FALSE)))*H2)</f>
        <v>0</v>
      </c>
      <c r="M2" s="43">
        <f>IF(ISBLANK(E2),0,IF(Config!$B$2="low", IF(E2="Crystal dust", VLOOKUP("Enhanced crystal teleport seed",Prices!$A:$C,3,FALSE)/1500, VLOOKUP(E2,Prices!$A:$C,3,FALSE)), IF(E2="Crystal dust", VLOOKUP("Enhanced crystal teleport seed",Prices!$A:$C,2,FALSE)/1500, VLOOKUP(E2,Prices!$A:$C,2,FALSE)))*I2)</f>
        <v>0</v>
      </c>
      <c r="N2" s="41">
        <f>IF(OR(C2="Ashes",C2="Crystal dust"),K2,K2*0.9)</f>
        <v>4250.6139999999996</v>
      </c>
      <c r="O2" s="42">
        <f>IF(OR(D2="Ashes",D2="Crystal dust"),L2,L2*0.9)</f>
        <v>0</v>
      </c>
      <c r="P2" s="43">
        <f>IF(OR(E2="Ashes",E2="Crystal dust"),M2,M2*0.9)</f>
        <v>0</v>
      </c>
      <c r="Q2" s="10">
        <f>IFERROR(VLOOKUP("Amulet of chemistry",Prices!$A:$C,2,FALSE),"")</f>
        <v>1300</v>
      </c>
      <c r="R2" s="9">
        <f>IF(Config!$B$8,Q2/10,Q2/5)</f>
        <v>130</v>
      </c>
      <c r="S2" s="9">
        <f>IF(Config!$B$8,R2*0.15,R2*0.05)</f>
        <v>19.5</v>
      </c>
      <c r="T2" s="9">
        <f>J2+IF(Config!$B$6,SUM(N2,P2),SUM(K2:M2))+IF(Config!$B$7,S2,0)</f>
        <v>18781.114000000001</v>
      </c>
      <c r="U2" s="10">
        <f>IF(Config!$B$3="low",IF($AC2,VLOOKUP($A2,Prices!$A:$C,3,FALSE),VLOOKUP($A2&amp;"(3)",Prices!$A:$C,3,FALSE)),IF($AC2,VLOOKUP($A2,Prices!$A:$C,2,FALSE),VLOOKUP($A2&amp;"(3)",Prices!$A:$C,2,FALSE)))</f>
        <v>11444</v>
      </c>
      <c r="V2" s="10">
        <f>IF(Config!$B$9,W2*3/4,U2)</f>
        <v>18300</v>
      </c>
      <c r="W2" s="10">
        <f>IF(Config!$B$3="low",IF($AC2,VLOOKUP($A2,Prices!$A:$C,3,FALSE),VLOOKUP($A2&amp;"(4)",Prices!$A:$C,3,FALSE)),IF($AC2,VLOOKUP($A2,Prices!$A:$C,2,FALSE),VLOOKUP($A2&amp;"(4)",Prices!$A:$C,2,FALSE)))</f>
        <v>24400</v>
      </c>
      <c r="X2" s="10">
        <f>IF(Config!$B$7,IF(Config!$B$8,V2*0.85+W2*0.15,V2*0.95+W2*0.05),V2)</f>
        <v>19215</v>
      </c>
      <c r="Y2" s="10">
        <f>_xlfn.CEILING.MATH(X2*0.98)</f>
        <v>18831</v>
      </c>
      <c r="Z2" s="11">
        <f>Y2-T2</f>
        <v>49.885999999998603</v>
      </c>
      <c r="AA2">
        <v>1.5</v>
      </c>
      <c r="AB2" s="11">
        <f>Z2/AA2</f>
        <v>33.257333333332404</v>
      </c>
      <c r="AC2" s="12" t="b">
        <v>0</v>
      </c>
      <c r="AD2" s="10">
        <f>IF(AC2,VLOOKUP(A2,Prices!A:D,4,0),VLOOKUP(A2&amp;"(3)",Prices!A:D,4,0)*0.85+VLOOKUP(A2&amp;"(4)",Prices!A:D,4,0)*0.15)</f>
        <v>228.95</v>
      </c>
      <c r="AE2" s="33">
        <v>86</v>
      </c>
    </row>
    <row r="3" spans="1:31" x14ac:dyDescent="0.35">
      <c r="A3" s="22" t="s">
        <v>42</v>
      </c>
      <c r="B3" s="8" t="s">
        <v>43</v>
      </c>
      <c r="C3" s="5" t="s">
        <v>44</v>
      </c>
      <c r="D3" s="6"/>
      <c r="E3" s="7"/>
      <c r="F3" s="31">
        <v>1</v>
      </c>
      <c r="G3" s="5">
        <v>3</v>
      </c>
      <c r="H3" s="6">
        <v>0</v>
      </c>
      <c r="I3" s="36">
        <v>0</v>
      </c>
      <c r="J3" s="44">
        <f>IF(ISBLANK(B3),0,IF(Config!$B$2="low", VLOOKUP(B3,Prices!$A:$C,3,FALSE), VLOOKUP(B3,Prices!$A:$C,2,FALSE))*F3)</f>
        <v>7451</v>
      </c>
      <c r="K3" s="45">
        <f>IF(ISBLANK(C3),0,IF(Config!$B$2="low", IF(C3="Crystal dust", VLOOKUP("Enhanced crystal teleport seed",Prices!$A:$C,3,FALSE)/1500, VLOOKUP(C3,Prices!$A:$C,3,FALSE)), IF(C3="Crystal dust", VLOOKUP("Enhanced crystal teleport seed",Prices!$A:$C,2,FALSE)/1500, VLOOKUP(C3,Prices!$A:$C,2,FALSE)))*G3)</f>
        <v>6159</v>
      </c>
      <c r="L3" s="42">
        <f>IF(ISBLANK(D3),0,IF(Config!$B$2="low", IF(D3="Crystal dust", VLOOKUP("Enhanced crystal teleport seed",Prices!$A:$C,3,FALSE)/1500, VLOOKUP(D3,Prices!$A:$C,3,FALSE)), IF(D3="Crystal dust", VLOOKUP("Enhanced crystal teleport seed",Prices!$A:$C,2,FALSE)/1500, VLOOKUP(D3,Prices!$A:$C,2,FALSE)))*H3)</f>
        <v>0</v>
      </c>
      <c r="M3" s="43">
        <f>IF(ISBLANK(E3),0,IF(Config!$B$2="low", IF(E3="Crystal dust", VLOOKUP("Enhanced crystal teleport seed",Prices!$A:$C,3,FALSE)/1500, VLOOKUP(E3,Prices!$A:$C,3,FALSE)), IF(E3="Crystal dust", VLOOKUP("Enhanced crystal teleport seed",Prices!$A:$C,2,FALSE)/1500, VLOOKUP(E3,Prices!$A:$C,2,FALSE)))*I3)</f>
        <v>0</v>
      </c>
      <c r="N3" s="41">
        <f>IF(OR(C3="Ashes",C3="Crystal dust"),K3,K3*0.9)</f>
        <v>5543.1</v>
      </c>
      <c r="O3" s="42">
        <f>IF(OR(D3="Ashes",D3="Crystal dust"),L3,L3*0.9)</f>
        <v>0</v>
      </c>
      <c r="P3" s="43">
        <f>IF(OR(E3="Ashes",E3="Crystal dust"),M3,M3*0.9)</f>
        <v>0</v>
      </c>
      <c r="Q3" s="10">
        <f>IFERROR(VLOOKUP("Amulet of chemistry",Prices!$A:$C,2,FALSE),"")</f>
        <v>1300</v>
      </c>
      <c r="R3" s="9">
        <f>IF(Config!$B$8,Q3/10,Q3/5)</f>
        <v>130</v>
      </c>
      <c r="S3" s="9">
        <f>IF(Config!$B$8,R3*0.15,R3*0.05)</f>
        <v>19.5</v>
      </c>
      <c r="T3" s="9">
        <f>J3+IF(Config!$B$6,SUM(N3,P3),SUM(K3:M3))+IF(Config!$B$7,S3,0)</f>
        <v>13013.6</v>
      </c>
      <c r="U3" s="10">
        <f>IF(Config!$B$3="low",IF($AC3,VLOOKUP($A3,Prices!$A:$C,3,FALSE),VLOOKUP($A3&amp;"(3)",Prices!$A:$C,3,FALSE)),IF($AC3,VLOOKUP($A3,Prices!$A:$C,2,FALSE),VLOOKUP($A3&amp;"(3)",Prices!$A:$C,2,FALSE)))</f>
        <v>12950</v>
      </c>
      <c r="V3" s="10">
        <f>IF(Config!$B$9,W3*3/4,U3)</f>
        <v>12963.75</v>
      </c>
      <c r="W3" s="10">
        <f>IF(Config!$B$3="low",IF($AC3,VLOOKUP($A3,Prices!$A:$C,3,FALSE),VLOOKUP($A3&amp;"(4)",Prices!$A:$C,3,FALSE)),IF($AC3,VLOOKUP($A3,Prices!$A:$C,2,FALSE),VLOOKUP($A3&amp;"(4)",Prices!$A:$C,2,FALSE)))</f>
        <v>17285</v>
      </c>
      <c r="X3" s="10">
        <f>IF(Config!$B$7,IF(Config!$B$8,V3*0.85+W3*0.15,V3*0.95+W3*0.05),V3)</f>
        <v>13611.9375</v>
      </c>
      <c r="Y3" s="10">
        <f>_xlfn.CEILING.MATH(X3*0.98)</f>
        <v>13340</v>
      </c>
      <c r="Z3" s="11">
        <f>Y3-T3</f>
        <v>326.39999999999964</v>
      </c>
      <c r="AA3">
        <v>15</v>
      </c>
      <c r="AB3" s="11">
        <f>Z3/AA3</f>
        <v>21.759999999999977</v>
      </c>
      <c r="AC3" s="12" t="b">
        <v>0</v>
      </c>
      <c r="AD3" s="10">
        <f>IF(AC3,VLOOKUP(A3,Prices!A:D,4,0),VLOOKUP(A3&amp;"(3)",Prices!A:D,4,0)*0.85+VLOOKUP(A3&amp;"(4)",Prices!A:D,4,0)*0.15)</f>
        <v>386.55</v>
      </c>
      <c r="AE3" s="33">
        <v>94</v>
      </c>
    </row>
    <row r="4" spans="1:31" x14ac:dyDescent="0.35">
      <c r="A4" s="22" t="s">
        <v>56</v>
      </c>
      <c r="B4" s="8" t="s">
        <v>57</v>
      </c>
      <c r="C4" s="5" t="s">
        <v>58</v>
      </c>
      <c r="D4" s="6"/>
      <c r="E4" s="7"/>
      <c r="F4" s="31">
        <v>1</v>
      </c>
      <c r="G4" s="5">
        <v>1</v>
      </c>
      <c r="H4" s="6">
        <v>0</v>
      </c>
      <c r="I4" s="36">
        <v>0</v>
      </c>
      <c r="J4" s="44">
        <f>IF(ISBLANK(B4),0,IF(Config!$B$2="low", VLOOKUP(B4,Prices!$A:$C,3,FALSE), VLOOKUP(B4,Prices!$A:$C,2,FALSE))*F4)</f>
        <v>3400</v>
      </c>
      <c r="K4" s="45">
        <f>IF(ISBLANK(C4),0,IF(Config!$B$2="low", IF(C4="Crystal dust", VLOOKUP("Enhanced crystal teleport seed",Prices!$A:$C,3,FALSE)/1500, VLOOKUP(C4,Prices!$A:$C,3,FALSE)), IF(C4="Crystal dust", VLOOKUP("Enhanced crystal teleport seed",Prices!$A:$C,2,FALSE)/1500, VLOOKUP(C4,Prices!$A:$C,2,FALSE)))*G4)</f>
        <v>1664</v>
      </c>
      <c r="L4" s="42">
        <f>IF(ISBLANK(D4),0,IF(Config!$B$2="low", IF(D4="Crystal dust", VLOOKUP("Enhanced crystal teleport seed",Prices!$A:$C,3,FALSE)/1500, VLOOKUP(D4,Prices!$A:$C,3,FALSE)), IF(D4="Crystal dust", VLOOKUP("Enhanced crystal teleport seed",Prices!$A:$C,2,FALSE)/1500, VLOOKUP(D4,Prices!$A:$C,2,FALSE)))*H4)</f>
        <v>0</v>
      </c>
      <c r="M4" s="43">
        <f>IF(ISBLANK(E4),0,IF(Config!$B$2="low", IF(E4="Crystal dust", VLOOKUP("Enhanced crystal teleport seed",Prices!$A:$C,3,FALSE)/1500, VLOOKUP(E4,Prices!$A:$C,3,FALSE)), IF(E4="Crystal dust", VLOOKUP("Enhanced crystal teleport seed",Prices!$A:$C,2,FALSE)/1500, VLOOKUP(E4,Prices!$A:$C,2,FALSE)))*I4)</f>
        <v>0</v>
      </c>
      <c r="N4" s="41">
        <f>IF(OR(C4="Ashes",C4="Crystal dust"),K4,K4*0.9)</f>
        <v>1497.6000000000001</v>
      </c>
      <c r="O4" s="42">
        <f>IF(OR(D4="Ashes",D4="Crystal dust"),L4,L4*0.9)</f>
        <v>0</v>
      </c>
      <c r="P4" s="43">
        <f>IF(OR(E4="Ashes",E4="Crystal dust"),M4,M4*0.9)</f>
        <v>0</v>
      </c>
      <c r="Q4" s="10">
        <f>IFERROR(VLOOKUP("Amulet of chemistry",Prices!$A:$C,2,FALSE),"")</f>
        <v>1300</v>
      </c>
      <c r="R4" s="9">
        <f>IF(Config!$B$8,Q4/10,Q4/5)</f>
        <v>130</v>
      </c>
      <c r="S4" s="9">
        <f>IF(Config!$B$8,R4*0.15,R4*0.05)</f>
        <v>19.5</v>
      </c>
      <c r="T4" s="9">
        <f>J4+IF(Config!$B$6,SUM(N4,P4),SUM(K4:M4))+IF(Config!$B$7,S4,0)</f>
        <v>4917.1000000000004</v>
      </c>
      <c r="U4" s="10">
        <f>IF(Config!$B$3="low",IF($AC4,VLOOKUP($A4,Prices!$A:$C,3,FALSE),VLOOKUP($A4&amp;"(3)",Prices!$A:$C,3,FALSE)),IF($AC4,VLOOKUP($A4,Prices!$A:$C,2,FALSE),VLOOKUP($A4&amp;"(3)",Prices!$A:$C,2,FALSE)))</f>
        <v>7000</v>
      </c>
      <c r="V4" s="10">
        <f>IF(Config!$B$9,W4*3/4,U4)</f>
        <v>5250</v>
      </c>
      <c r="W4" s="10">
        <f>IF(Config!$B$3="low",IF($AC4,VLOOKUP($A4,Prices!$A:$C,3,FALSE),VLOOKUP($A4&amp;"(4)",Prices!$A:$C,3,FALSE)),IF($AC4,VLOOKUP($A4,Prices!$A:$C,2,FALSE),VLOOKUP($A4&amp;"(4)",Prices!$A:$C,2,FALSE)))</f>
        <v>7000</v>
      </c>
      <c r="X4" s="10">
        <f>IF(Config!$B$7,IF(Config!$B$8,V4*0.85+W4*0.15,V4*0.95+W4*0.05),V4)</f>
        <v>5512.5</v>
      </c>
      <c r="Y4" s="10">
        <f>_xlfn.CEILING.MATH(X4*0.98)</f>
        <v>5403</v>
      </c>
      <c r="Z4" s="11">
        <f>Y4-T4</f>
        <v>485.89999999999964</v>
      </c>
      <c r="AA4">
        <v>27</v>
      </c>
      <c r="AB4" s="11">
        <f>Z4/AA4</f>
        <v>17.996296296296283</v>
      </c>
      <c r="AC4" s="12" t="b">
        <v>1</v>
      </c>
      <c r="AD4" s="10">
        <f>IF(AC4,VLOOKUP(A4,Prices!A:D,4,0),VLOOKUP(A4&amp;"(3)",Prices!A:D,4,0)*0.85+VLOOKUP(A4&amp;"(4)",Prices!A:D,4,0)*0.15)</f>
        <v>426</v>
      </c>
      <c r="AE4" s="33">
        <v>56</v>
      </c>
    </row>
    <row r="5" spans="1:31" x14ac:dyDescent="0.35">
      <c r="A5" s="22" t="s">
        <v>116</v>
      </c>
      <c r="B5" s="8" t="s">
        <v>117</v>
      </c>
      <c r="C5" s="5" t="s">
        <v>118</v>
      </c>
      <c r="D5" s="6" t="s">
        <v>119</v>
      </c>
      <c r="E5" s="7"/>
      <c r="F5" s="31">
        <v>1</v>
      </c>
      <c r="G5" s="5">
        <v>1</v>
      </c>
      <c r="H5" s="6">
        <v>1</v>
      </c>
      <c r="I5" s="36">
        <v>0</v>
      </c>
      <c r="J5" s="44">
        <f>IF(ISBLANK(B5),0,IF(Config!$B$2="low", VLOOKUP(B5,Prices!$A:$C,3,FALSE), VLOOKUP(B5,Prices!$A:$C,2,FALSE))*F5)</f>
        <v>49</v>
      </c>
      <c r="K5" s="45">
        <f>IF(ISBLANK(C5),0,IF(Config!$B$2="low", IF(C5="Crystal dust", VLOOKUP("Enhanced crystal teleport seed",Prices!$A:$C,3,FALSE)/1500, VLOOKUP(C5,Prices!$A:$C,3,FALSE)), IF(C5="Crystal dust", VLOOKUP("Enhanced crystal teleport seed",Prices!$A:$C,2,FALSE)/1500, VLOOKUP(C5,Prices!$A:$C,2,FALSE)))*G5)</f>
        <v>22</v>
      </c>
      <c r="L5" s="42">
        <f>IF(ISBLANK(D5),0,IF(Config!$B$2="low", IF(D5="Crystal dust", VLOOKUP("Enhanced crystal teleport seed",Prices!$A:$C,3,FALSE)/1500, VLOOKUP(D5,Prices!$A:$C,3,FALSE)), IF(D5="Crystal dust", VLOOKUP("Enhanced crystal teleport seed",Prices!$A:$C,2,FALSE)/1500, VLOOKUP(D5,Prices!$A:$C,2,FALSE)))*H5)</f>
        <v>1515</v>
      </c>
      <c r="M5" s="43">
        <f>IF(ISBLANK(E5),0,IF(Config!$B$2="low", IF(E5="Crystal dust", VLOOKUP("Enhanced crystal teleport seed",Prices!$A:$C,3,FALSE)/1500, VLOOKUP(E5,Prices!$A:$C,3,FALSE)), IF(E5="Crystal dust", VLOOKUP("Enhanced crystal teleport seed",Prices!$A:$C,2,FALSE)/1500, VLOOKUP(E5,Prices!$A:$C,2,FALSE)))*I5)</f>
        <v>0</v>
      </c>
      <c r="N5" s="41">
        <f>IF(OR(C5="Ashes",C5="Crystal dust"),K5,K5*0.9)</f>
        <v>19.8</v>
      </c>
      <c r="O5" s="42">
        <f>IF(OR(D5="Ashes",D5="Crystal dust"),L5,L5*0.9)</f>
        <v>1363.5</v>
      </c>
      <c r="P5" s="43">
        <f>IF(OR(E5="Ashes",E5="Crystal dust"),M5,M5*0.9)</f>
        <v>0</v>
      </c>
      <c r="Q5" s="10">
        <f>IFERROR(VLOOKUP("Amulet of chemistry",Prices!$A:$C,2,FALSE),"")</f>
        <v>1300</v>
      </c>
      <c r="R5" s="9">
        <f>IF(Config!$B$8,Q5/10,Q5/5)</f>
        <v>130</v>
      </c>
      <c r="S5" s="9">
        <f>IF(Config!$B$8,R5*0.15,R5*0.05)</f>
        <v>19.5</v>
      </c>
      <c r="T5" s="9">
        <f>J5+IF(Config!$B$6,SUM(N5,P5),SUM(K5:M5))+IF(Config!$B$7,S5,0)</f>
        <v>88.3</v>
      </c>
      <c r="U5" s="10">
        <f>IF(Config!$B$3="low",IF($AC5,VLOOKUP($A5,Prices!$A:$C,3,FALSE),VLOOKUP($A5&amp;"(3)",Prices!$A:$C,3,FALSE)),IF($AC5,VLOOKUP($A5,Prices!$A:$C,2,FALSE),VLOOKUP($A5&amp;"(3)",Prices!$A:$C,2,FALSE)))</f>
        <v>201</v>
      </c>
      <c r="V5" s="10">
        <f>IF(Config!$B$9,W5*3/4,U5)</f>
        <v>900</v>
      </c>
      <c r="W5" s="10">
        <f>IF(Config!$B$3="low",IF($AC5,VLOOKUP($A5,Prices!$A:$C,3,FALSE),VLOOKUP($A5&amp;"(4)",Prices!$A:$C,3,FALSE)),IF($AC5,VLOOKUP($A5,Prices!$A:$C,2,FALSE),VLOOKUP($A5&amp;"(4)",Prices!$A:$C,2,FALSE)))</f>
        <v>1200</v>
      </c>
      <c r="X5" s="10">
        <f>IF(Config!$B$7,IF(Config!$B$8,V5*0.85+W5*0.15,V5*0.95+W5*0.05),V5)</f>
        <v>945</v>
      </c>
      <c r="Y5" s="10">
        <f>_xlfn.CEILING.MATH(X5*0.98)</f>
        <v>927</v>
      </c>
      <c r="Z5" s="11">
        <f>Y5-T5</f>
        <v>838.7</v>
      </c>
      <c r="AA5">
        <v>50</v>
      </c>
      <c r="AB5" s="11">
        <f>Z5/AA5</f>
        <v>16.774000000000001</v>
      </c>
      <c r="AC5" s="12" t="b">
        <v>0</v>
      </c>
      <c r="AD5" s="10">
        <f>IF(AC5,VLOOKUP(A5,Prices!A:D,4,0),VLOOKUP(A5&amp;"(3)",Prices!A:D,4,0)*0.85+VLOOKUP(A5&amp;"(4)",Prices!A:D,4,0)*0.15)</f>
        <v>0.44999999999999996</v>
      </c>
      <c r="AE5" s="33">
        <v>22</v>
      </c>
    </row>
    <row r="6" spans="1:31" x14ac:dyDescent="0.35">
      <c r="A6" s="22" t="s">
        <v>37</v>
      </c>
      <c r="B6" s="8" t="s">
        <v>84</v>
      </c>
      <c r="C6" s="5" t="s">
        <v>85</v>
      </c>
      <c r="D6" s="6" t="s">
        <v>52</v>
      </c>
      <c r="E6" s="7" t="s">
        <v>86</v>
      </c>
      <c r="F6" s="31">
        <v>1</v>
      </c>
      <c r="G6" s="5">
        <v>1</v>
      </c>
      <c r="H6" s="6">
        <v>1</v>
      </c>
      <c r="I6" s="36">
        <v>1</v>
      </c>
      <c r="J6" s="44">
        <f>IF(ISBLANK(B6),0,IF(Config!$B$2="low", VLOOKUP(B6,Prices!$A:$C,3,FALSE), VLOOKUP(B6,Prices!$A:$C,2,FALSE))*F6)</f>
        <v>2888</v>
      </c>
      <c r="K6" s="45">
        <f>IF(ISBLANK(C6),0,IF(Config!$B$2="low", IF(C6="Crystal dust", VLOOKUP("Enhanced crystal teleport seed",Prices!$A:$C,3,FALSE)/1500, VLOOKUP(C6,Prices!$A:$C,3,FALSE)), IF(C6="Crystal dust", VLOOKUP("Enhanced crystal teleport seed",Prices!$A:$C,2,FALSE)/1500, VLOOKUP(C6,Prices!$A:$C,2,FALSE)))*G6)</f>
        <v>3779</v>
      </c>
      <c r="L6" s="42">
        <f>IF(ISBLANK(D6),0,IF(Config!$B$2="low", IF(D6="Crystal dust", VLOOKUP("Enhanced crystal teleport seed",Prices!$A:$C,3,FALSE)/1500, VLOOKUP(D6,Prices!$A:$C,3,FALSE)), IF(D6="Crystal dust", VLOOKUP("Enhanced crystal teleport seed",Prices!$A:$C,2,FALSE)/1500, VLOOKUP(D6,Prices!$A:$C,2,FALSE)))*H6)</f>
        <v>3966</v>
      </c>
      <c r="M6" s="43">
        <f>IF(ISBLANK(E6),0,IF(Config!$B$2="low", IF(E6="Crystal dust", VLOOKUP("Enhanced crystal teleport seed",Prices!$A:$C,3,FALSE)/1500, VLOOKUP(E6,Prices!$A:$C,3,FALSE)), IF(E6="Crystal dust", VLOOKUP("Enhanced crystal teleport seed",Prices!$A:$C,2,FALSE)/1500, VLOOKUP(E6,Prices!$A:$C,2,FALSE)))*I6)</f>
        <v>3922</v>
      </c>
      <c r="N6" s="41">
        <f>IF(OR(C6="Ashes",C6="Crystal dust"),K6,K6*0.9)</f>
        <v>3401.1</v>
      </c>
      <c r="O6" s="42">
        <f>IF(OR(D6="Ashes",D6="Crystal dust"),L6,L6*0.9)</f>
        <v>3569.4</v>
      </c>
      <c r="P6" s="43">
        <f>IF(OR(E6="Ashes",E6="Crystal dust"),M6,M6*0.9)</f>
        <v>3529.8</v>
      </c>
      <c r="Q6" s="10">
        <f>IFERROR(VLOOKUP("Amulet of chemistry",Prices!$A:$C,2,FALSE),"")</f>
        <v>1300</v>
      </c>
      <c r="R6" s="9">
        <f>IF(Config!$B$8,Q6/10,Q6/5)</f>
        <v>130</v>
      </c>
      <c r="S6" s="9">
        <f>IF(Config!$B$8,R6*0.15,R6*0.05)</f>
        <v>19.5</v>
      </c>
      <c r="T6" s="9">
        <f>J6+IF(Config!$B$6,SUM(N6,P6),SUM(K6:M6))+IF(Config!$B$7,S6,0)</f>
        <v>9838.4</v>
      </c>
      <c r="U6" s="10">
        <f>IF(Config!$B$3="low",IF($AC6,VLOOKUP($A6,Prices!$A:$C,3,FALSE),VLOOKUP($A6&amp;"(3)",Prices!$A:$C,3,FALSE)),IF($AC6,VLOOKUP($A6,Prices!$A:$C,2,FALSE),VLOOKUP($A6&amp;"(3)",Prices!$A:$C,2,FALSE)))</f>
        <v>14810</v>
      </c>
      <c r="V6" s="10">
        <f>IF(Config!$B$9,W6*3/4,U6)</f>
        <v>11107.5</v>
      </c>
      <c r="W6" s="10">
        <f>IF(Config!$B$3="low",IF($AC6,VLOOKUP($A6,Prices!$A:$C,3,FALSE),VLOOKUP($A6&amp;"(4)",Prices!$A:$C,3,FALSE)),IF($AC6,VLOOKUP($A6,Prices!$A:$C,2,FALSE),VLOOKUP($A6&amp;"(4)",Prices!$A:$C,2,FALSE)))</f>
        <v>14810</v>
      </c>
      <c r="X6" s="10">
        <f>IF(Config!$B$7,IF(Config!$B$8,V6*0.85+W6*0.15,V6*0.95+W6*0.05),V6)</f>
        <v>11662.875</v>
      </c>
      <c r="Y6" s="10">
        <f>_xlfn.CEILING.MATH(X6*0.98)</f>
        <v>11430</v>
      </c>
      <c r="Z6" s="11">
        <f>Y6-T6</f>
        <v>1591.6000000000004</v>
      </c>
      <c r="AA6">
        <v>150</v>
      </c>
      <c r="AB6" s="11">
        <f>Z6/AA6</f>
        <v>10.610666666666669</v>
      </c>
      <c r="AC6" s="12" t="b">
        <v>1</v>
      </c>
      <c r="AD6" s="10">
        <f>IF(AC6,VLOOKUP(A6,Prices!A:D,4,0),VLOOKUP(A6&amp;"(3)",Prices!A:D,4,0)*0.85+VLOOKUP(A6&amp;"(4)",Prices!A:D,4,0)*0.15)</f>
        <v>15183</v>
      </c>
      <c r="AE6" s="33">
        <v>90</v>
      </c>
    </row>
    <row r="7" spans="1:31" x14ac:dyDescent="0.35">
      <c r="A7" s="22" t="s">
        <v>107</v>
      </c>
      <c r="B7" s="8" t="s">
        <v>131</v>
      </c>
      <c r="C7" s="5" t="s">
        <v>132</v>
      </c>
      <c r="D7" s="6" t="s">
        <v>133</v>
      </c>
      <c r="E7" s="7"/>
      <c r="F7" s="31">
        <v>1</v>
      </c>
      <c r="G7" s="5">
        <v>1</v>
      </c>
      <c r="H7" s="6">
        <v>1</v>
      </c>
      <c r="I7" s="36">
        <v>0</v>
      </c>
      <c r="J7" s="44">
        <f>IF(ISBLANK(B7),0,IF(Config!$B$2="low", VLOOKUP(B7,Prices!$A:$C,3,FALSE), VLOOKUP(B7,Prices!$A:$C,2,FALSE))*F7)</f>
        <v>247</v>
      </c>
      <c r="K7" s="45">
        <f>IF(ISBLANK(C7),0,IF(Config!$B$2="low", IF(C7="Crystal dust", VLOOKUP("Enhanced crystal teleport seed",Prices!$A:$C,3,FALSE)/1500, VLOOKUP(C7,Prices!$A:$C,3,FALSE)), IF(C7="Crystal dust", VLOOKUP("Enhanced crystal teleport seed",Prices!$A:$C,2,FALSE)/1500, VLOOKUP(C7,Prices!$A:$C,2,FALSE)))*G7)</f>
        <v>2450</v>
      </c>
      <c r="L7" s="42">
        <f>IF(ISBLANK(D7),0,IF(Config!$B$2="low", IF(D7="Crystal dust", VLOOKUP("Enhanced crystal teleport seed",Prices!$A:$C,3,FALSE)/1500, VLOOKUP(D7,Prices!$A:$C,3,FALSE)), IF(D7="Crystal dust", VLOOKUP("Enhanced crystal teleport seed",Prices!$A:$C,2,FALSE)/1500, VLOOKUP(D7,Prices!$A:$C,2,FALSE)))*H7)</f>
        <v>2928</v>
      </c>
      <c r="M7" s="43">
        <f>IF(ISBLANK(E7),0,IF(Config!$B$2="low", IF(E7="Crystal dust", VLOOKUP("Enhanced crystal teleport seed",Prices!$A:$C,3,FALSE)/1500, VLOOKUP(E7,Prices!$A:$C,3,FALSE)), IF(E7="Crystal dust", VLOOKUP("Enhanced crystal teleport seed",Prices!$A:$C,2,FALSE)/1500, VLOOKUP(E7,Prices!$A:$C,2,FALSE)))*I7)</f>
        <v>0</v>
      </c>
      <c r="N7" s="41">
        <f>IF(OR(C7="Ashes",C7="Crystal dust"),K7,K7*0.9)</f>
        <v>2205</v>
      </c>
      <c r="O7" s="42">
        <f>IF(OR(D7="Ashes",D7="Crystal dust"),L7,L7*0.9)</f>
        <v>2635.2000000000003</v>
      </c>
      <c r="P7" s="43">
        <f>IF(OR(E7="Ashes",E7="Crystal dust"),M7,M7*0.9)</f>
        <v>0</v>
      </c>
      <c r="Q7" s="10">
        <f>IFERROR(VLOOKUP("Amulet of chemistry",Prices!$A:$C,2,FALSE),"")</f>
        <v>1300</v>
      </c>
      <c r="R7" s="9">
        <f>IF(Config!$B$8,Q7/10,Q7/5)</f>
        <v>130</v>
      </c>
      <c r="S7" s="9">
        <f>IF(Config!$B$8,R7*0.15,R7*0.05)</f>
        <v>19.5</v>
      </c>
      <c r="T7" s="9">
        <f>J7+IF(Config!$B$6,SUM(N7,P7),SUM(K7:M7))+IF(Config!$B$7,S7,0)</f>
        <v>2471.5</v>
      </c>
      <c r="U7" s="10">
        <f>IF(Config!$B$3="low",IF($AC7,VLOOKUP($A7,Prices!$A:$C,3,FALSE),VLOOKUP($A7&amp;"(3)",Prices!$A:$C,3,FALSE)),IF($AC7,VLOOKUP($A7,Prices!$A:$C,2,FALSE),VLOOKUP($A7&amp;"(3)",Prices!$A:$C,2,FALSE)))</f>
        <v>4910</v>
      </c>
      <c r="V7" s="10">
        <f>IF(Config!$B$9,W7*3/4,U7)</f>
        <v>3682.5</v>
      </c>
      <c r="W7" s="10">
        <f>IF(Config!$B$3="low",IF($AC7,VLOOKUP($A7,Prices!$A:$C,3,FALSE),VLOOKUP($A7&amp;"(4)",Prices!$A:$C,3,FALSE)),IF($AC7,VLOOKUP($A7,Prices!$A:$C,2,FALSE),VLOOKUP($A7&amp;"(4)",Prices!$A:$C,2,FALSE)))</f>
        <v>4910</v>
      </c>
      <c r="X7" s="10">
        <f>IF(Config!$B$7,IF(Config!$B$8,V7*0.85+W7*0.15,V7*0.95+W7*0.05),V7)</f>
        <v>3866.625</v>
      </c>
      <c r="Y7" s="10">
        <f>_xlfn.CEILING.MATH(X7*0.98)</f>
        <v>3790</v>
      </c>
      <c r="Z7" s="11">
        <f>Y7-T7</f>
        <v>1318.5</v>
      </c>
      <c r="AA7">
        <v>177.5</v>
      </c>
      <c r="AB7" s="11">
        <f>Z7/AA7</f>
        <v>7.4281690140845074</v>
      </c>
      <c r="AC7" s="12" t="b">
        <v>1</v>
      </c>
      <c r="AD7" s="10">
        <f>IF(AC7,VLOOKUP(A7,Prices!A:D,4,0),VLOOKUP(A7&amp;"(3)",Prices!A:D,4,0)*0.85+VLOOKUP(A7&amp;"(4)",Prices!A:D,4,0)*0.15)</f>
        <v>1667</v>
      </c>
      <c r="AE7" s="33">
        <v>79</v>
      </c>
    </row>
    <row r="8" spans="1:31" x14ac:dyDescent="0.35">
      <c r="A8" s="22" t="s">
        <v>67</v>
      </c>
      <c r="B8" s="8" t="s">
        <v>65</v>
      </c>
      <c r="C8" s="5" t="s">
        <v>68</v>
      </c>
      <c r="D8" s="6"/>
      <c r="E8" s="7"/>
      <c r="F8" s="31">
        <v>1</v>
      </c>
      <c r="G8" s="5">
        <v>1</v>
      </c>
      <c r="H8" s="6">
        <v>0</v>
      </c>
      <c r="I8" s="36">
        <v>0</v>
      </c>
      <c r="J8" s="44">
        <f>IF(ISBLANK(B8),0,IF(Config!$B$2="low", VLOOKUP(B8,Prices!$A:$C,3,FALSE), VLOOKUP(B8,Prices!$A:$C,2,FALSE))*F8)</f>
        <v>15096</v>
      </c>
      <c r="K8" s="45">
        <f>IF(ISBLANK(C8),0,IF(Config!$B$2="low", IF(C8="Crystal dust", VLOOKUP("Enhanced crystal teleport seed",Prices!$A:$C,3,FALSE)/1500, VLOOKUP(C8,Prices!$A:$C,3,FALSE)), IF(C8="Crystal dust", VLOOKUP("Enhanced crystal teleport seed",Prices!$A:$C,2,FALSE)/1500, VLOOKUP(C8,Prices!$A:$C,2,FALSE)))*G8)</f>
        <v>52</v>
      </c>
      <c r="L8" s="42">
        <f>IF(ISBLANK(D8),0,IF(Config!$B$2="low", IF(D8="Crystal dust", VLOOKUP("Enhanced crystal teleport seed",Prices!$A:$C,3,FALSE)/1500, VLOOKUP(D8,Prices!$A:$C,3,FALSE)), IF(D8="Crystal dust", VLOOKUP("Enhanced crystal teleport seed",Prices!$A:$C,2,FALSE)/1500, VLOOKUP(D8,Prices!$A:$C,2,FALSE)))*H8)</f>
        <v>0</v>
      </c>
      <c r="M8" s="43">
        <f>IF(ISBLANK(E8),0,IF(Config!$B$2="low", IF(E8="Crystal dust", VLOOKUP("Enhanced crystal teleport seed",Prices!$A:$C,3,FALSE)/1500, VLOOKUP(E8,Prices!$A:$C,3,FALSE)), IF(E8="Crystal dust", VLOOKUP("Enhanced crystal teleport seed",Prices!$A:$C,2,FALSE)/1500, VLOOKUP(E8,Prices!$A:$C,2,FALSE)))*I8)</f>
        <v>0</v>
      </c>
      <c r="N8" s="41">
        <f>IF(OR(C8="Ashes",C8="Crystal dust"),K8,K8*0.9)</f>
        <v>46.800000000000004</v>
      </c>
      <c r="O8" s="42">
        <f>IF(OR(D8="Ashes",D8="Crystal dust"),L8,L8*0.9)</f>
        <v>0</v>
      </c>
      <c r="P8" s="43">
        <f>IF(OR(E8="Ashes",E8="Crystal dust"),M8,M8*0.9)</f>
        <v>0</v>
      </c>
      <c r="Q8" s="10">
        <f>IFERROR(VLOOKUP("Amulet of chemistry",Prices!$A:$C,2,FALSE),"")</f>
        <v>1300</v>
      </c>
      <c r="R8" s="9">
        <f>IF(Config!$B$8,Q8/10,Q8/5)</f>
        <v>130</v>
      </c>
      <c r="S8" s="9">
        <f>IF(Config!$B$8,R8*0.15,R8*0.05)</f>
        <v>19.5</v>
      </c>
      <c r="T8" s="9">
        <f>J8+IF(Config!$B$6,SUM(N8,P8),SUM(K8:M8))+IF(Config!$B$7,S8,0)</f>
        <v>15162.3</v>
      </c>
      <c r="U8" s="10">
        <f>IF(Config!$B$3="low",IF($AC8,VLOOKUP($A8,Prices!$A:$C,3,FALSE),VLOOKUP($A8&amp;"(3)",Prices!$A:$C,3,FALSE)),IF($AC8,VLOOKUP($A8,Prices!$A:$C,2,FALSE),VLOOKUP($A8&amp;"(3)",Prices!$A:$C,2,FALSE)))</f>
        <v>13789</v>
      </c>
      <c r="V8" s="10">
        <f>IF(Config!$B$9,W8*3/4,U8)</f>
        <v>15541.5</v>
      </c>
      <c r="W8" s="10">
        <f>IF(Config!$B$3="low",IF($AC8,VLOOKUP($A8,Prices!$A:$C,3,FALSE),VLOOKUP($A8&amp;"(4)",Prices!$A:$C,3,FALSE)),IF($AC8,VLOOKUP($A8,Prices!$A:$C,2,FALSE),VLOOKUP($A8&amp;"(4)",Prices!$A:$C,2,FALSE)))</f>
        <v>20722</v>
      </c>
      <c r="X8" s="10">
        <f>IF(Config!$B$7,IF(Config!$B$8,V8*0.85+W8*0.15,V8*0.95+W8*0.05),V8)</f>
        <v>16318.574999999999</v>
      </c>
      <c r="Y8" s="10">
        <f>_xlfn.CEILING.MATH(X8*0.98)</f>
        <v>15993</v>
      </c>
      <c r="Z8" s="11">
        <f>Y8-T8</f>
        <v>830.70000000000073</v>
      </c>
      <c r="AA8">
        <v>155</v>
      </c>
      <c r="AB8" s="11">
        <f>Z8/AA8</f>
        <v>5.3593548387096819</v>
      </c>
      <c r="AC8" s="12" t="b">
        <v>0</v>
      </c>
      <c r="AD8" s="10">
        <f>IF(AC8,VLOOKUP(A8,Prices!A:D,4,0),VLOOKUP(A8&amp;"(3)",Prices!A:D,4,0)*0.85+VLOOKUP(A8&amp;"(4)",Prices!A:D,4,0)*0.15)</f>
        <v>9.5</v>
      </c>
      <c r="AE8" s="33">
        <v>80</v>
      </c>
    </row>
    <row r="9" spans="1:31" x14ac:dyDescent="0.35">
      <c r="A9" s="22" t="s">
        <v>88</v>
      </c>
      <c r="B9" s="8" t="s">
        <v>89</v>
      </c>
      <c r="C9" s="5" t="s">
        <v>90</v>
      </c>
      <c r="D9" s="6"/>
      <c r="E9" s="7"/>
      <c r="F9" s="31">
        <v>1</v>
      </c>
      <c r="G9" s="5">
        <v>60</v>
      </c>
      <c r="H9" s="6">
        <v>0</v>
      </c>
      <c r="I9" s="36">
        <v>0</v>
      </c>
      <c r="J9" s="44">
        <f>IF(ISBLANK(B9),0,IF(Config!$B$2="low", VLOOKUP(B9,Prices!$A:$C,3,FALSE), VLOOKUP(B9,Prices!$A:$C,2,FALSE))*F9)</f>
        <v>2679</v>
      </c>
      <c r="K9" s="45">
        <f>IF(ISBLANK(C9),0,IF(Config!$B$2="low", IF(C9="Crystal dust", VLOOKUP("Enhanced crystal teleport seed",Prices!$A:$C,3,FALSE)/1500, VLOOKUP(C9,Prices!$A:$C,3,FALSE)), IF(C9="Crystal dust", VLOOKUP("Enhanced crystal teleport seed",Prices!$A:$C,2,FALSE)/1500, VLOOKUP(C9,Prices!$A:$C,2,FALSE)))*G9)</f>
        <v>1200</v>
      </c>
      <c r="L9" s="42">
        <f>IF(ISBLANK(D9),0,IF(Config!$B$2="low", IF(D9="Crystal dust", VLOOKUP("Enhanced crystal teleport seed",Prices!$A:$C,3,FALSE)/1500, VLOOKUP(D9,Prices!$A:$C,3,FALSE)), IF(D9="Crystal dust", VLOOKUP("Enhanced crystal teleport seed",Prices!$A:$C,2,FALSE)/1500, VLOOKUP(D9,Prices!$A:$C,2,FALSE)))*H9)</f>
        <v>0</v>
      </c>
      <c r="M9" s="43">
        <f>IF(ISBLANK(E9),0,IF(Config!$B$2="low", IF(E9="Crystal dust", VLOOKUP("Enhanced crystal teleport seed",Prices!$A:$C,3,FALSE)/1500, VLOOKUP(E9,Prices!$A:$C,3,FALSE)), IF(E9="Crystal dust", VLOOKUP("Enhanced crystal teleport seed",Prices!$A:$C,2,FALSE)/1500, VLOOKUP(E9,Prices!$A:$C,2,FALSE)))*I9)</f>
        <v>0</v>
      </c>
      <c r="N9" s="41">
        <f>IF(OR(C9="Ashes",C9="Crystal dust"),K9,K9*0.9)</f>
        <v>1080</v>
      </c>
      <c r="O9" s="42">
        <f>IF(OR(D9="Ashes",D9="Crystal dust"),L9,L9*0.9)</f>
        <v>0</v>
      </c>
      <c r="P9" s="43">
        <f>IF(OR(E9="Ashes",E9="Crystal dust"),M9,M9*0.9)</f>
        <v>0</v>
      </c>
      <c r="Q9" s="10">
        <f>IFERROR(VLOOKUP("Amulet of chemistry",Prices!$A:$C,2,FALSE),"")</f>
        <v>1300</v>
      </c>
      <c r="R9" s="9">
        <f>IF(Config!$B$8,Q9/10,Q9/5)</f>
        <v>130</v>
      </c>
      <c r="S9" s="9">
        <f>IF(Config!$B$8,R9*0.15,R9*0.05)</f>
        <v>19.5</v>
      </c>
      <c r="T9" s="9">
        <f>J9+IF(Config!$B$6,SUM(N9,P9),SUM(K9:M9))+IF(Config!$B$7,S9,0)</f>
        <v>3778.5</v>
      </c>
      <c r="U9" s="10">
        <f>IF(Config!$B$3="low",IF($AC9,VLOOKUP($A9,Prices!$A:$C,3,FALSE),VLOOKUP($A9&amp;"(3)",Prices!$A:$C,3,FALSE)),IF($AC9,VLOOKUP($A9,Prices!$A:$C,2,FALSE),VLOOKUP($A9&amp;"(3)",Prices!$A:$C,2,FALSE)))</f>
        <v>3600</v>
      </c>
      <c r="V9" s="10">
        <f>IF(Config!$B$9,W9*3/4,U9)</f>
        <v>4164</v>
      </c>
      <c r="W9" s="10">
        <f>IF(Config!$B$3="low",IF($AC9,VLOOKUP($A9,Prices!$A:$C,3,FALSE),VLOOKUP($A9&amp;"(4)",Prices!$A:$C,3,FALSE)),IF($AC9,VLOOKUP($A9,Prices!$A:$C,2,FALSE),VLOOKUP($A9&amp;"(4)",Prices!$A:$C,2,FALSE)))</f>
        <v>5552</v>
      </c>
      <c r="X9" s="10">
        <f>IF(Config!$B$7,IF(Config!$B$8,V9*0.85+W9*0.15,V9*0.95+W9*0.05),V9)</f>
        <v>4372.2</v>
      </c>
      <c r="Y9" s="10">
        <f>_xlfn.CEILING.MATH(X9*0.98)</f>
        <v>4285</v>
      </c>
      <c r="Z9" s="11">
        <f>Y9-T9</f>
        <v>506.5</v>
      </c>
      <c r="AA9">
        <v>108.75</v>
      </c>
      <c r="AB9" s="11">
        <f>Z9/AA9</f>
        <v>4.6574712643678158</v>
      </c>
      <c r="AC9" s="12" t="b">
        <v>0</v>
      </c>
      <c r="AD9" s="10">
        <f>IF(AC9,VLOOKUP(A9,Prices!A:D,4,0),VLOOKUP(A9&amp;"(3)",Prices!A:D,4,0)*0.85+VLOOKUP(A9&amp;"(4)",Prices!A:D,4,0)*0.15)</f>
        <v>1389.2</v>
      </c>
      <c r="AE9" s="33">
        <v>91</v>
      </c>
    </row>
    <row r="10" spans="1:31" x14ac:dyDescent="0.35">
      <c r="A10" s="22" t="s">
        <v>53</v>
      </c>
      <c r="B10" s="8" t="s">
        <v>54</v>
      </c>
      <c r="C10" s="5" t="s">
        <v>55</v>
      </c>
      <c r="D10" s="6"/>
      <c r="E10" s="7"/>
      <c r="F10" s="31">
        <v>1</v>
      </c>
      <c r="G10" s="5">
        <v>3</v>
      </c>
      <c r="H10" s="6">
        <v>0</v>
      </c>
      <c r="I10" s="36">
        <v>0</v>
      </c>
      <c r="J10" s="44">
        <f>IF(ISBLANK(B10),0,IF(Config!$B$2="low", VLOOKUP(B10,Prices!$A:$C,3,FALSE), VLOOKUP(B10,Prices!$A:$C,2,FALSE))*F10)</f>
        <v>18000</v>
      </c>
      <c r="K10" s="45">
        <f>IF(ISBLANK(C10),0,IF(Config!$B$2="low", IF(C10="Crystal dust", VLOOKUP("Enhanced crystal teleport seed",Prices!$A:$C,3,FALSE)/1500, VLOOKUP(C10,Prices!$A:$C,3,FALSE)), IF(C10="Crystal dust", VLOOKUP("Enhanced crystal teleport seed",Prices!$A:$C,2,FALSE)/1500, VLOOKUP(C10,Prices!$A:$C,2,FALSE)))*G10)</f>
        <v>150</v>
      </c>
      <c r="L10" s="42">
        <f>IF(ISBLANK(D10),0,IF(Config!$B$2="low", IF(D10="Crystal dust", VLOOKUP("Enhanced crystal teleport seed",Prices!$A:$C,3,FALSE)/1500, VLOOKUP(D10,Prices!$A:$C,3,FALSE)), IF(D10="Crystal dust", VLOOKUP("Enhanced crystal teleport seed",Prices!$A:$C,2,FALSE)/1500, VLOOKUP(D10,Prices!$A:$C,2,FALSE)))*H10)</f>
        <v>0</v>
      </c>
      <c r="M10" s="43">
        <f>IF(ISBLANK(E10),0,IF(Config!$B$2="low", IF(E10="Crystal dust", VLOOKUP("Enhanced crystal teleport seed",Prices!$A:$C,3,FALSE)/1500, VLOOKUP(E10,Prices!$A:$C,3,FALSE)), IF(E10="Crystal dust", VLOOKUP("Enhanced crystal teleport seed",Prices!$A:$C,2,FALSE)/1500, VLOOKUP(E10,Prices!$A:$C,2,FALSE)))*I10)</f>
        <v>0</v>
      </c>
      <c r="N10" s="41">
        <f>IF(OR(C10="Ashes",C10="Crystal dust"),K10,K10*0.9)</f>
        <v>135</v>
      </c>
      <c r="O10" s="42">
        <f>IF(OR(D10="Ashes",D10="Crystal dust"),L10,L10*0.9)</f>
        <v>0</v>
      </c>
      <c r="P10" s="43">
        <f>IF(OR(E10="Ashes",E10="Crystal dust"),M10,M10*0.9)</f>
        <v>0</v>
      </c>
      <c r="Q10" s="10">
        <f>IFERROR(VLOOKUP("Amulet of chemistry",Prices!$A:$C,2,FALSE),"")</f>
        <v>1300</v>
      </c>
      <c r="R10" s="9">
        <f>IF(Config!$B$8,Q10/10,Q10/5)</f>
        <v>130</v>
      </c>
      <c r="S10" s="9">
        <f>IF(Config!$B$8,R10*0.15,R10*0.05)</f>
        <v>19.5</v>
      </c>
      <c r="T10" s="9">
        <f>J10+IF(Config!$B$6,SUM(N10,P10),SUM(K10:M10))+IF(Config!$B$7,S10,0)</f>
        <v>18154.5</v>
      </c>
      <c r="U10" s="10">
        <f>IF(Config!$B$3="low",IF($AC10,VLOOKUP($A10,Prices!$A:$C,3,FALSE),VLOOKUP($A10&amp;"(3)",Prices!$A:$C,3,FALSE)),IF($AC10,VLOOKUP($A10,Prices!$A:$C,2,FALSE),VLOOKUP($A10&amp;"(3)",Prices!$A:$C,2,FALSE)))</f>
        <v>15500</v>
      </c>
      <c r="V10" s="10">
        <f>IF(Config!$B$9,W10*3/4,U10)</f>
        <v>17744.25</v>
      </c>
      <c r="W10" s="10">
        <f>IF(Config!$B$3="low",IF($AC10,VLOOKUP($A10,Prices!$A:$C,3,FALSE),VLOOKUP($A10&amp;"(4)",Prices!$A:$C,3,FALSE)),IF($AC10,VLOOKUP($A10,Prices!$A:$C,2,FALSE),VLOOKUP($A10&amp;"(4)",Prices!$A:$C,2,FALSE)))</f>
        <v>23659</v>
      </c>
      <c r="X10" s="10">
        <f>IF(Config!$B$7,IF(Config!$B$8,V10*0.85+W10*0.15,V10*0.95+W10*0.05),V10)</f>
        <v>18631.462499999998</v>
      </c>
      <c r="Y10" s="10">
        <f>_xlfn.CEILING.MATH(X10*0.98)</f>
        <v>18259</v>
      </c>
      <c r="Z10" s="11">
        <f>Y10-T10</f>
        <v>104.5</v>
      </c>
      <c r="AA10">
        <v>120</v>
      </c>
      <c r="AB10" s="11">
        <f>Z10/AA10</f>
        <v>0.87083333333333335</v>
      </c>
      <c r="AC10" s="12" t="b">
        <v>0</v>
      </c>
      <c r="AD10" s="10">
        <f>IF(AC10,VLOOKUP(A10,Prices!A:D,4,0),VLOOKUP(A10&amp;"(3)",Prices!A:D,4,0)*0.85+VLOOKUP(A10&amp;"(4)",Prices!A:D,4,0)*0.15)</f>
        <v>464.95</v>
      </c>
      <c r="AE10" s="33">
        <v>98</v>
      </c>
    </row>
    <row r="11" spans="1:31" x14ac:dyDescent="0.35">
      <c r="A11" s="22" t="s">
        <v>71</v>
      </c>
      <c r="B11" s="8" t="s">
        <v>56</v>
      </c>
      <c r="C11" s="5" t="s">
        <v>72</v>
      </c>
      <c r="D11" s="6"/>
      <c r="E11" s="7"/>
      <c r="F11" s="31">
        <v>1</v>
      </c>
      <c r="G11" s="5">
        <v>1</v>
      </c>
      <c r="H11" s="6">
        <v>0</v>
      </c>
      <c r="I11" s="36">
        <v>0</v>
      </c>
      <c r="J11" s="44">
        <f>IF(ISBLANK(B11),0,IF(Config!$B$2="low", VLOOKUP(B11,Prices!$A:$C,3,FALSE), VLOOKUP(B11,Prices!$A:$C,2,FALSE))*F11)</f>
        <v>7000</v>
      </c>
      <c r="K11" s="45">
        <f>IF(ISBLANK(C11),0,IF(Config!$B$2="low", IF(C11="Crystal dust", VLOOKUP("Enhanced crystal teleport seed",Prices!$A:$C,3,FALSE)/1500, VLOOKUP(C11,Prices!$A:$C,3,FALSE)), IF(C11="Crystal dust", VLOOKUP("Enhanced crystal teleport seed",Prices!$A:$C,2,FALSE)/1500, VLOOKUP(C11,Prices!$A:$C,2,FALSE)))*G11)</f>
        <v>3300</v>
      </c>
      <c r="L11" s="42">
        <f>IF(ISBLANK(D11),0,IF(Config!$B$2="low", IF(D11="Crystal dust", VLOOKUP("Enhanced crystal teleport seed",Prices!$A:$C,3,FALSE)/1500, VLOOKUP(D11,Prices!$A:$C,3,FALSE)), IF(D11="Crystal dust", VLOOKUP("Enhanced crystal teleport seed",Prices!$A:$C,2,FALSE)/1500, VLOOKUP(D11,Prices!$A:$C,2,FALSE)))*H11)</f>
        <v>0</v>
      </c>
      <c r="M11" s="43">
        <f>IF(ISBLANK(E11),0,IF(Config!$B$2="low", IF(E11="Crystal dust", VLOOKUP("Enhanced crystal teleport seed",Prices!$A:$C,3,FALSE)/1500, VLOOKUP(E11,Prices!$A:$C,3,FALSE)), IF(E11="Crystal dust", VLOOKUP("Enhanced crystal teleport seed",Prices!$A:$C,2,FALSE)/1500, VLOOKUP(E11,Prices!$A:$C,2,FALSE)))*I11)</f>
        <v>0</v>
      </c>
      <c r="N11" s="41">
        <f>IF(OR(C11="Ashes",C11="Crystal dust"),K11,K11*0.9)</f>
        <v>2970</v>
      </c>
      <c r="O11" s="42">
        <f>IF(OR(D11="Ashes",D11="Crystal dust"),L11,L11*0.9)</f>
        <v>0</v>
      </c>
      <c r="P11" s="43">
        <f>IF(OR(E11="Ashes",E11="Crystal dust"),M11,M11*0.9)</f>
        <v>0</v>
      </c>
      <c r="Q11" s="10">
        <f>IFERROR(VLOOKUP("Amulet of chemistry",Prices!$A:$C,2,FALSE),"")</f>
        <v>1300</v>
      </c>
      <c r="R11" s="9">
        <f>IF(Config!$B$8,Q11/10,Q11/5)</f>
        <v>130</v>
      </c>
      <c r="S11" s="9">
        <f>IF(Config!$B$8,R11*0.15,R11*0.05)</f>
        <v>19.5</v>
      </c>
      <c r="T11" s="9">
        <f>J11+IF(Config!$B$6,SUM(N11,P11),SUM(K11:M11))+IF(Config!$B$7,S11,0)</f>
        <v>9989.5</v>
      </c>
      <c r="U11" s="10">
        <f>IF(Config!$B$3="low",IF($AC11,VLOOKUP($A11,Prices!$A:$C,3,FALSE),VLOOKUP($A11&amp;"(3)",Prices!$A:$C,3,FALSE)),IF($AC11,VLOOKUP($A11,Prices!$A:$C,2,FALSE),VLOOKUP($A11&amp;"(3)",Prices!$A:$C,2,FALSE)))</f>
        <v>8111</v>
      </c>
      <c r="V11" s="10">
        <f>IF(Config!$B$9,W11*3/4,U11)</f>
        <v>9750</v>
      </c>
      <c r="W11" s="10">
        <f>IF(Config!$B$3="low",IF($AC11,VLOOKUP($A11,Prices!$A:$C,3,FALSE),VLOOKUP($A11&amp;"(4)",Prices!$A:$C,3,FALSE)),IF($AC11,VLOOKUP($A11,Prices!$A:$C,2,FALSE),VLOOKUP($A11&amp;"(4)",Prices!$A:$C,2,FALSE)))</f>
        <v>13000</v>
      </c>
      <c r="X11" s="10">
        <f>IF(Config!$B$7,IF(Config!$B$8,V11*0.85+W11*0.15,V11*0.95+W11*0.05),V11)</f>
        <v>10237.5</v>
      </c>
      <c r="Y11" s="10">
        <f>_xlfn.CEILING.MATH(X11*0.98)</f>
        <v>10033</v>
      </c>
      <c r="Z11" s="11">
        <f>Y11-T11</f>
        <v>43.5</v>
      </c>
      <c r="AA11">
        <v>100</v>
      </c>
      <c r="AB11" s="11">
        <f>Z11/AA11</f>
        <v>0.435</v>
      </c>
      <c r="AC11" s="12" t="b">
        <v>0</v>
      </c>
      <c r="AD11" s="10">
        <f>IF(AC11,VLOOKUP(A11,Prices!A:D,4,0),VLOOKUP(A11&amp;"(3)",Prices!A:D,4,0)*0.85+VLOOKUP(A11&amp;"(4)",Prices!A:D,4,0)*0.15)</f>
        <v>47.4</v>
      </c>
      <c r="AE11" s="33">
        <v>56</v>
      </c>
    </row>
    <row r="12" spans="1:31" x14ac:dyDescent="0.35">
      <c r="A12" s="22" t="s">
        <v>61</v>
      </c>
      <c r="B12" s="8" t="s">
        <v>62</v>
      </c>
      <c r="C12" s="5" t="s">
        <v>63</v>
      </c>
      <c r="D12" s="6"/>
      <c r="E12" s="7"/>
      <c r="F12" s="31">
        <v>1</v>
      </c>
      <c r="G12" s="5">
        <v>1</v>
      </c>
      <c r="H12" s="6">
        <v>0</v>
      </c>
      <c r="I12" s="36">
        <v>0</v>
      </c>
      <c r="J12" s="44">
        <f>IF(ISBLANK(B12),0,IF(Config!$B$2="low", VLOOKUP(B12,Prices!$A:$C,3,FALSE), VLOOKUP(B12,Prices!$A:$C,2,FALSE))*F12)</f>
        <v>7371</v>
      </c>
      <c r="K12" s="45">
        <f>IF(ISBLANK(C12),0,IF(Config!$B$2="low", IF(C12="Crystal dust", VLOOKUP("Enhanced crystal teleport seed",Prices!$A:$C,3,FALSE)/1500, VLOOKUP(C12,Prices!$A:$C,3,FALSE)), IF(C12="Crystal dust", VLOOKUP("Enhanced crystal teleport seed",Prices!$A:$C,2,FALSE)/1500, VLOOKUP(C12,Prices!$A:$C,2,FALSE)))*G12)</f>
        <v>42400</v>
      </c>
      <c r="L12" s="42">
        <f>IF(ISBLANK(D12),0,IF(Config!$B$2="low", IF(D12="Crystal dust", VLOOKUP("Enhanced crystal teleport seed",Prices!$A:$C,3,FALSE)/1500, VLOOKUP(D12,Prices!$A:$C,3,FALSE)), IF(D12="Crystal dust", VLOOKUP("Enhanced crystal teleport seed",Prices!$A:$C,2,FALSE)/1500, VLOOKUP(D12,Prices!$A:$C,2,FALSE)))*H12)</f>
        <v>0</v>
      </c>
      <c r="M12" s="43">
        <f>IF(ISBLANK(E12),0,IF(Config!$B$2="low", IF(E12="Crystal dust", VLOOKUP("Enhanced crystal teleport seed",Prices!$A:$C,3,FALSE)/1500, VLOOKUP(E12,Prices!$A:$C,3,FALSE)), IF(E12="Crystal dust", VLOOKUP("Enhanced crystal teleport seed",Prices!$A:$C,2,FALSE)/1500, VLOOKUP(E12,Prices!$A:$C,2,FALSE)))*I12)</f>
        <v>0</v>
      </c>
      <c r="N12" s="41">
        <f>IF(OR(C12="Ashes",C12="Crystal dust"),K12,K12*0.9)</f>
        <v>38160</v>
      </c>
      <c r="O12" s="42">
        <f>IF(OR(D12="Ashes",D12="Crystal dust"),L12,L12*0.9)</f>
        <v>0</v>
      </c>
      <c r="P12" s="43">
        <f>IF(OR(E12="Ashes",E12="Crystal dust"),M12,M12*0.9)</f>
        <v>0</v>
      </c>
      <c r="Q12" s="10">
        <f>IFERROR(VLOOKUP("Amulet of chemistry",Prices!$A:$C,2,FALSE),"")</f>
        <v>1300</v>
      </c>
      <c r="R12" s="9">
        <f>IF(Config!$B$8,Q12/10,Q12/5)</f>
        <v>130</v>
      </c>
      <c r="S12" s="9">
        <f>IF(Config!$B$8,R12*0.15,R12*0.05)</f>
        <v>19.5</v>
      </c>
      <c r="T12" s="9">
        <f>J12+IF(Config!$B$6,SUM(N12,P12),SUM(K12:M12))+IF(Config!$B$7,S12,0)</f>
        <v>45550.5</v>
      </c>
      <c r="U12" s="10">
        <f>IF(Config!$B$3="low",IF($AC12,VLOOKUP($A12,Prices!$A:$C,3,FALSE),VLOOKUP($A12&amp;"(3)",Prices!$A:$C,3,FALSE)),IF($AC12,VLOOKUP($A12,Prices!$A:$C,2,FALSE),VLOOKUP($A12&amp;"(3)",Prices!$A:$C,2,FALSE)))</f>
        <v>43675</v>
      </c>
      <c r="V12" s="10">
        <f>IF(Config!$B$9,W12*3/4,U12)</f>
        <v>44171.25</v>
      </c>
      <c r="W12" s="10">
        <f>IF(Config!$B$3="low",IF($AC12,VLOOKUP($A12,Prices!$A:$C,3,FALSE),VLOOKUP($A12&amp;"(4)",Prices!$A:$C,3,FALSE)),IF($AC12,VLOOKUP($A12,Prices!$A:$C,2,FALSE),VLOOKUP($A12&amp;"(4)",Prices!$A:$C,2,FALSE)))</f>
        <v>58895</v>
      </c>
      <c r="X12" s="10">
        <f>IF(Config!$B$7,IF(Config!$B$8,V12*0.85+W12*0.15,V12*0.95+W12*0.05),V12)</f>
        <v>46379.8125</v>
      </c>
      <c r="Y12" s="10">
        <f>_xlfn.CEILING.MATH(X12*0.98)</f>
        <v>45453</v>
      </c>
      <c r="Z12" s="11">
        <f>Y12-T12</f>
        <v>-97.5</v>
      </c>
      <c r="AA12">
        <v>132</v>
      </c>
      <c r="AB12" s="11">
        <f>Z12/AA12</f>
        <v>-0.73863636363636365</v>
      </c>
      <c r="AC12" s="12" t="b">
        <v>0</v>
      </c>
      <c r="AD12" s="10">
        <f>IF(AC12,VLOOKUP(A12,Prices!A:D,4,0),VLOOKUP(A12&amp;"(3)",Prices!A:D,4,0)*0.85+VLOOKUP(A12&amp;"(4)",Prices!A:D,4,0)*0.15)</f>
        <v>459.84999999999997</v>
      </c>
      <c r="AE12" s="33">
        <v>58</v>
      </c>
    </row>
    <row r="13" spans="1:31" x14ac:dyDescent="0.35">
      <c r="A13" s="22" t="s">
        <v>78</v>
      </c>
      <c r="B13" s="8" t="s">
        <v>79</v>
      </c>
      <c r="C13" s="5" t="s">
        <v>80</v>
      </c>
      <c r="D13" s="6"/>
      <c r="E13" s="7"/>
      <c r="F13" s="31">
        <v>1</v>
      </c>
      <c r="G13" s="5">
        <v>3</v>
      </c>
      <c r="H13" s="6">
        <v>0</v>
      </c>
      <c r="I13" s="36">
        <v>0</v>
      </c>
      <c r="J13" s="44">
        <f>IF(ISBLANK(B13),0,IF(Config!$B$2="low", VLOOKUP(B13,Prices!$A:$C,3,FALSE), VLOOKUP(B13,Prices!$A:$C,2,FALSE))*F13)</f>
        <v>4027</v>
      </c>
      <c r="K13" s="45">
        <f>IF(ISBLANK(C13),0,IF(Config!$B$2="low", IF(C13="Crystal dust", VLOOKUP("Enhanced crystal teleport seed",Prices!$A:$C,3,FALSE)/1500, VLOOKUP(C13,Prices!$A:$C,3,FALSE)), IF(C13="Crystal dust", VLOOKUP("Enhanced crystal teleport seed",Prices!$A:$C,2,FALSE)/1500, VLOOKUP(C13,Prices!$A:$C,2,FALSE)))*G13)</f>
        <v>5886</v>
      </c>
      <c r="L13" s="42">
        <f>IF(ISBLANK(D13),0,IF(Config!$B$2="low", IF(D13="Crystal dust", VLOOKUP("Enhanced crystal teleport seed",Prices!$A:$C,3,FALSE)/1500, VLOOKUP(D13,Prices!$A:$C,3,FALSE)), IF(D13="Crystal dust", VLOOKUP("Enhanced crystal teleport seed",Prices!$A:$C,2,FALSE)/1500, VLOOKUP(D13,Prices!$A:$C,2,FALSE)))*H13)</f>
        <v>0</v>
      </c>
      <c r="M13" s="43">
        <f>IF(ISBLANK(E13),0,IF(Config!$B$2="low", IF(E13="Crystal dust", VLOOKUP("Enhanced crystal teleport seed",Prices!$A:$C,3,FALSE)/1500, VLOOKUP(E13,Prices!$A:$C,3,FALSE)), IF(E13="Crystal dust", VLOOKUP("Enhanced crystal teleport seed",Prices!$A:$C,2,FALSE)/1500, VLOOKUP(E13,Prices!$A:$C,2,FALSE)))*I13)</f>
        <v>0</v>
      </c>
      <c r="N13" s="41">
        <f>IF(OR(C13="Ashes",C13="Crystal dust"),K13,K13*0.9)</f>
        <v>5297.4000000000005</v>
      </c>
      <c r="O13" s="42">
        <f>IF(OR(D13="Ashes",D13="Crystal dust"),L13,L13*0.9)</f>
        <v>0</v>
      </c>
      <c r="P13" s="43">
        <f>IF(OR(E13="Ashes",E13="Crystal dust"),M13,M13*0.9)</f>
        <v>0</v>
      </c>
      <c r="Q13" s="10">
        <f>IFERROR(VLOOKUP("Amulet of chemistry",Prices!$A:$C,2,FALSE),"")</f>
        <v>1300</v>
      </c>
      <c r="R13" s="9">
        <f>IF(Config!$B$8,Q13/10,Q13/5)</f>
        <v>130</v>
      </c>
      <c r="S13" s="9">
        <f>IF(Config!$B$8,R13*0.15,R13*0.05)</f>
        <v>19.5</v>
      </c>
      <c r="T13" s="9">
        <f>J13+IF(Config!$B$6,SUM(N13,P13),SUM(K13:M13))+IF(Config!$B$7,S13,0)</f>
        <v>9343.9000000000015</v>
      </c>
      <c r="U13" s="10">
        <f>IF(Config!$B$3="low",IF($AC13,VLOOKUP($A13,Prices!$A:$C,3,FALSE),VLOOKUP($A13&amp;"(3)",Prices!$A:$C,3,FALSE)),IF($AC13,VLOOKUP($A13,Prices!$A:$C,2,FALSE),VLOOKUP($A13&amp;"(3)",Prices!$A:$C,2,FALSE)))</f>
        <v>8088</v>
      </c>
      <c r="V13" s="10">
        <f>IF(Config!$B$9,W13*3/4,U13)</f>
        <v>9000</v>
      </c>
      <c r="W13" s="10">
        <f>IF(Config!$B$3="low",IF($AC13,VLOOKUP($A13,Prices!$A:$C,3,FALSE),VLOOKUP($A13&amp;"(4)",Prices!$A:$C,3,FALSE)),IF($AC13,VLOOKUP($A13,Prices!$A:$C,2,FALSE),VLOOKUP($A13&amp;"(4)",Prices!$A:$C,2,FALSE)))</f>
        <v>12000</v>
      </c>
      <c r="X13" s="10">
        <f>IF(Config!$B$7,IF(Config!$B$8,V13*0.85+W13*0.15,V13*0.95+W13*0.05),V13)</f>
        <v>9450</v>
      </c>
      <c r="Y13" s="10">
        <f>_xlfn.CEILING.MATH(X13*0.98)</f>
        <v>9261</v>
      </c>
      <c r="Z13" s="11">
        <f>Y13-T13</f>
        <v>-82.900000000001455</v>
      </c>
      <c r="AA13">
        <v>82.5</v>
      </c>
      <c r="AB13" s="11">
        <f>Z13/AA13</f>
        <v>-1.0048484848485024</v>
      </c>
      <c r="AC13" s="12" t="b">
        <v>0</v>
      </c>
      <c r="AD13" s="10">
        <f>IF(AC13,VLOOKUP(A13,Prices!A:D,4,0),VLOOKUP(A13&amp;"(3)",Prices!A:D,4,0)*0.85+VLOOKUP(A13&amp;"(4)",Prices!A:D,4,0)*0.15)</f>
        <v>498.55</v>
      </c>
      <c r="AE13" s="33">
        <v>85</v>
      </c>
    </row>
    <row r="14" spans="1:31" x14ac:dyDescent="0.35">
      <c r="A14" s="22" t="s">
        <v>73</v>
      </c>
      <c r="B14" s="8" t="s">
        <v>74</v>
      </c>
      <c r="C14" s="5" t="s">
        <v>75</v>
      </c>
      <c r="D14" s="6"/>
      <c r="E14" s="7"/>
      <c r="F14" s="31">
        <v>1</v>
      </c>
      <c r="G14" s="5">
        <v>1</v>
      </c>
      <c r="H14" s="6">
        <v>0</v>
      </c>
      <c r="I14" s="36">
        <v>0</v>
      </c>
      <c r="J14" s="44">
        <f>IF(ISBLANK(B14),0,IF(Config!$B$2="low", VLOOKUP(B14,Prices!$A:$C,3,FALSE), VLOOKUP(B14,Prices!$A:$C,2,FALSE))*F14)</f>
        <v>6080</v>
      </c>
      <c r="K14" s="45">
        <f>IF(ISBLANK(C14),0,IF(Config!$B$2="low", IF(C14="Crystal dust", VLOOKUP("Enhanced crystal teleport seed",Prices!$A:$C,3,FALSE)/1500, VLOOKUP(C14,Prices!$A:$C,3,FALSE)), IF(C14="Crystal dust", VLOOKUP("Enhanced crystal teleport seed",Prices!$A:$C,2,FALSE)/1500, VLOOKUP(C14,Prices!$A:$C,2,FALSE)))*G14)</f>
        <v>547</v>
      </c>
      <c r="L14" s="42">
        <f>IF(ISBLANK(D14),0,IF(Config!$B$2="low", IF(D14="Crystal dust", VLOOKUP("Enhanced crystal teleport seed",Prices!$A:$C,3,FALSE)/1500, VLOOKUP(D14,Prices!$A:$C,3,FALSE)), IF(D14="Crystal dust", VLOOKUP("Enhanced crystal teleport seed",Prices!$A:$C,2,FALSE)/1500, VLOOKUP(D14,Prices!$A:$C,2,FALSE)))*H14)</f>
        <v>0</v>
      </c>
      <c r="M14" s="43">
        <f>IF(ISBLANK(E14),0,IF(Config!$B$2="low", IF(E14="Crystal dust", VLOOKUP("Enhanced crystal teleport seed",Prices!$A:$C,3,FALSE)/1500, VLOOKUP(E14,Prices!$A:$C,3,FALSE)), IF(E14="Crystal dust", VLOOKUP("Enhanced crystal teleport seed",Prices!$A:$C,2,FALSE)/1500, VLOOKUP(E14,Prices!$A:$C,2,FALSE)))*I14)</f>
        <v>0</v>
      </c>
      <c r="N14" s="41">
        <f>IF(OR(C14="Ashes",C14="Crystal dust"),K14,K14*0.9)</f>
        <v>492.3</v>
      </c>
      <c r="O14" s="42">
        <f>IF(OR(D14="Ashes",D14="Crystal dust"),L14,L14*0.9)</f>
        <v>0</v>
      </c>
      <c r="P14" s="43">
        <f>IF(OR(E14="Ashes",E14="Crystal dust"),M14,M14*0.9)</f>
        <v>0</v>
      </c>
      <c r="Q14" s="10">
        <f>IFERROR(VLOOKUP("Amulet of chemistry",Prices!$A:$C,2,FALSE),"")</f>
        <v>1300</v>
      </c>
      <c r="R14" s="9">
        <f>IF(Config!$B$8,Q14/10,Q14/5)</f>
        <v>130</v>
      </c>
      <c r="S14" s="9">
        <f>IF(Config!$B$8,R14*0.15,R14*0.05)</f>
        <v>19.5</v>
      </c>
      <c r="T14" s="9">
        <f>J14+IF(Config!$B$6,SUM(N14,P14),SUM(K14:M14))+IF(Config!$B$7,S14,0)</f>
        <v>6591.8</v>
      </c>
      <c r="U14" s="10">
        <f>IF(Config!$B$3="low",IF($AC14,VLOOKUP($A14,Prices!$A:$C,3,FALSE),VLOOKUP($A14&amp;"(3)",Prices!$A:$C,3,FALSE)),IF($AC14,VLOOKUP($A14,Prices!$A:$C,2,FALSE),VLOOKUP($A14&amp;"(3)",Prices!$A:$C,2,FALSE)))</f>
        <v>6176</v>
      </c>
      <c r="V14" s="10">
        <f>IF(Config!$B$9,W14*3/4,U14)</f>
        <v>6318.75</v>
      </c>
      <c r="W14" s="10">
        <f>IF(Config!$B$3="low",IF($AC14,VLOOKUP($A14,Prices!$A:$C,3,FALSE),VLOOKUP($A14&amp;"(4)",Prices!$A:$C,3,FALSE)),IF($AC14,VLOOKUP($A14,Prices!$A:$C,2,FALSE),VLOOKUP($A14&amp;"(4)",Prices!$A:$C,2,FALSE)))</f>
        <v>8425</v>
      </c>
      <c r="X14" s="10">
        <f>IF(Config!$B$7,IF(Config!$B$8,V14*0.85+W14*0.15,V14*0.95+W14*0.05),V14)</f>
        <v>6634.6875</v>
      </c>
      <c r="Y14" s="10">
        <f>_xlfn.CEILING.MATH(X14*0.98)</f>
        <v>6502</v>
      </c>
      <c r="Z14" s="11">
        <f>Y14-T14</f>
        <v>-89.800000000000182</v>
      </c>
      <c r="AA14">
        <v>87.5</v>
      </c>
      <c r="AB14" s="11">
        <f>Z14/AA14</f>
        <v>-1.0262857142857165</v>
      </c>
      <c r="AC14" s="12" t="b">
        <v>0</v>
      </c>
      <c r="AD14" s="10">
        <f>IF(AC14,VLOOKUP(A14,Prices!A:D,4,0),VLOOKUP(A14&amp;"(3)",Prices!A:D,4,0)*0.85+VLOOKUP(A14&amp;"(4)",Prices!A:D,4,0)*0.15)</f>
        <v>14022.5</v>
      </c>
      <c r="AE14" s="33">
        <v>38</v>
      </c>
    </row>
    <row r="15" spans="1:31" x14ac:dyDescent="0.35">
      <c r="A15" s="22" t="s">
        <v>64</v>
      </c>
      <c r="B15" s="8" t="s">
        <v>65</v>
      </c>
      <c r="C15" s="5" t="s">
        <v>66</v>
      </c>
      <c r="D15" s="6"/>
      <c r="E15" s="7"/>
      <c r="F15" s="31">
        <v>1</v>
      </c>
      <c r="G15" s="5">
        <v>1</v>
      </c>
      <c r="H15" s="6">
        <v>0</v>
      </c>
      <c r="I15" s="36">
        <v>0</v>
      </c>
      <c r="J15" s="44">
        <f>IF(ISBLANK(B15),0,IF(Config!$B$2="low", VLOOKUP(B15,Prices!$A:$C,3,FALSE), VLOOKUP(B15,Prices!$A:$C,2,FALSE))*F15)</f>
        <v>15096</v>
      </c>
      <c r="K15" s="45">
        <f>IF(ISBLANK(C15),0,IF(Config!$B$2="low", IF(C15="Crystal dust", VLOOKUP("Enhanced crystal teleport seed",Prices!$A:$C,3,FALSE)/1500, VLOOKUP(C15,Prices!$A:$C,3,FALSE)), IF(C15="Crystal dust", VLOOKUP("Enhanced crystal teleport seed",Prices!$A:$C,2,FALSE)/1500, VLOOKUP(C15,Prices!$A:$C,2,FALSE)))*G15)</f>
        <v>941</v>
      </c>
      <c r="L15" s="42">
        <f>IF(ISBLANK(D15),0,IF(Config!$B$2="low", IF(D15="Crystal dust", VLOOKUP("Enhanced crystal teleport seed",Prices!$A:$C,3,FALSE)/1500, VLOOKUP(D15,Prices!$A:$C,3,FALSE)), IF(D15="Crystal dust", VLOOKUP("Enhanced crystal teleport seed",Prices!$A:$C,2,FALSE)/1500, VLOOKUP(D15,Prices!$A:$C,2,FALSE)))*H15)</f>
        <v>0</v>
      </c>
      <c r="M15" s="43">
        <f>IF(ISBLANK(E15),0,IF(Config!$B$2="low", IF(E15="Crystal dust", VLOOKUP("Enhanced crystal teleport seed",Prices!$A:$C,3,FALSE)/1500, VLOOKUP(E15,Prices!$A:$C,3,FALSE)), IF(E15="Crystal dust", VLOOKUP("Enhanced crystal teleport seed",Prices!$A:$C,2,FALSE)/1500, VLOOKUP(E15,Prices!$A:$C,2,FALSE)))*I15)</f>
        <v>0</v>
      </c>
      <c r="N15" s="41">
        <f>IF(OR(C15="Ashes",C15="Crystal dust"),K15,K15*0.9)</f>
        <v>846.9</v>
      </c>
      <c r="O15" s="42">
        <f>IF(OR(D15="Ashes",D15="Crystal dust"),L15,L15*0.9)</f>
        <v>0</v>
      </c>
      <c r="P15" s="43">
        <f>IF(OR(E15="Ashes",E15="Crystal dust"),M15,M15*0.9)</f>
        <v>0</v>
      </c>
      <c r="Q15" s="10">
        <f>IFERROR(VLOOKUP("Amulet of chemistry",Prices!$A:$C,2,FALSE),"")</f>
        <v>1300</v>
      </c>
      <c r="R15" s="9">
        <f>IF(Config!$B$8,Q15/10,Q15/5)</f>
        <v>130</v>
      </c>
      <c r="S15" s="9">
        <f>IF(Config!$B$8,R15*0.15,R15*0.05)</f>
        <v>19.5</v>
      </c>
      <c r="T15" s="9">
        <f>J15+IF(Config!$B$6,SUM(N15,P15),SUM(K15:M15))+IF(Config!$B$7,S15,0)</f>
        <v>15962.4</v>
      </c>
      <c r="U15" s="10">
        <f>IF(Config!$B$3="low",IF($AC15,VLOOKUP($A15,Prices!$A:$C,3,FALSE),VLOOKUP($A15&amp;"(3)",Prices!$A:$C,3,FALSE)),IF($AC15,VLOOKUP($A15,Prices!$A:$C,2,FALSE),VLOOKUP($A15&amp;"(3)",Prices!$A:$C,2,FALSE)))</f>
        <v>14511</v>
      </c>
      <c r="V15" s="10">
        <f>IF(Config!$B$9,W15*3/4,U15)</f>
        <v>15125.25</v>
      </c>
      <c r="W15" s="10">
        <f>IF(Config!$B$3="low",IF($AC15,VLOOKUP($A15,Prices!$A:$C,3,FALSE),VLOOKUP($A15&amp;"(4)",Prices!$A:$C,3,FALSE)),IF($AC15,VLOOKUP($A15,Prices!$A:$C,2,FALSE),VLOOKUP($A15&amp;"(4)",Prices!$A:$C,2,FALSE)))</f>
        <v>20167</v>
      </c>
      <c r="X15" s="10">
        <f>IF(Config!$B$7,IF(Config!$B$8,V15*0.85+W15*0.15,V15*0.95+W15*0.05),V15)</f>
        <v>15881.512499999999</v>
      </c>
      <c r="Y15" s="10">
        <f>_xlfn.CEILING.MATH(X15*0.98)</f>
        <v>15564</v>
      </c>
      <c r="Z15" s="11">
        <f>Y15-T15</f>
        <v>-398.39999999999964</v>
      </c>
      <c r="AA15">
        <v>155</v>
      </c>
      <c r="AB15" s="11">
        <f>Z15/AA15</f>
        <v>-2.5703225806451591</v>
      </c>
      <c r="AC15" s="12" t="b">
        <v>0</v>
      </c>
      <c r="AD15" s="10">
        <f>IF(AC15,VLOOKUP(A15,Prices!A:D,4,0),VLOOKUP(A15&amp;"(3)",Prices!A:D,4,0)*0.85+VLOOKUP(A15&amp;"(4)",Prices!A:D,4,0)*0.15)</f>
        <v>3456.8999999999996</v>
      </c>
      <c r="AE15" s="33">
        <v>80</v>
      </c>
    </row>
    <row r="16" spans="1:31" x14ac:dyDescent="0.35">
      <c r="A16" s="22" t="s">
        <v>104</v>
      </c>
      <c r="B16" s="8" t="s">
        <v>105</v>
      </c>
      <c r="C16" s="5" t="s">
        <v>106</v>
      </c>
      <c r="D16" s="6"/>
      <c r="E16" s="7"/>
      <c r="F16" s="31">
        <v>1</v>
      </c>
      <c r="G16" s="5">
        <v>1</v>
      </c>
      <c r="H16" s="6">
        <v>0</v>
      </c>
      <c r="I16" s="36">
        <v>0</v>
      </c>
      <c r="J16" s="44">
        <f>IF(ISBLANK(B16),0,IF(Config!$B$2="low", VLOOKUP(B16,Prices!$A:$C,3,FALSE), VLOOKUP(B16,Prices!$A:$C,2,FALSE))*F16)</f>
        <v>3275</v>
      </c>
      <c r="K16" s="45">
        <f>IF(ISBLANK(C16),0,IF(Config!$B$2="low", IF(C16="Crystal dust", VLOOKUP("Enhanced crystal teleport seed",Prices!$A:$C,3,FALSE)/1500, VLOOKUP(C16,Prices!$A:$C,3,FALSE)), IF(C16="Crystal dust", VLOOKUP("Enhanced crystal teleport seed",Prices!$A:$C,2,FALSE)/1500, VLOOKUP(C16,Prices!$A:$C,2,FALSE)))*G16)</f>
        <v>292</v>
      </c>
      <c r="L16" s="42">
        <f>IF(ISBLANK(D16),0,IF(Config!$B$2="low", IF(D16="Crystal dust", VLOOKUP("Enhanced crystal teleport seed",Prices!$A:$C,3,FALSE)/1500, VLOOKUP(D16,Prices!$A:$C,3,FALSE)), IF(D16="Crystal dust", VLOOKUP("Enhanced crystal teleport seed",Prices!$A:$C,2,FALSE)/1500, VLOOKUP(D16,Prices!$A:$C,2,FALSE)))*H16)</f>
        <v>0</v>
      </c>
      <c r="M16" s="43">
        <f>IF(ISBLANK(E16),0,IF(Config!$B$2="low", IF(E16="Crystal dust", VLOOKUP("Enhanced crystal teleport seed",Prices!$A:$C,3,FALSE)/1500, VLOOKUP(E16,Prices!$A:$C,3,FALSE)), IF(E16="Crystal dust", VLOOKUP("Enhanced crystal teleport seed",Prices!$A:$C,2,FALSE)/1500, VLOOKUP(E16,Prices!$A:$C,2,FALSE)))*I16)</f>
        <v>0</v>
      </c>
      <c r="N16" s="41">
        <f>IF(OR(C16="Ashes",C16="Crystal dust"),K16,K16*0.9)</f>
        <v>262.8</v>
      </c>
      <c r="O16" s="42">
        <f>IF(OR(D16="Ashes",D16="Crystal dust"),L16,L16*0.9)</f>
        <v>0</v>
      </c>
      <c r="P16" s="43">
        <f>IF(OR(E16="Ashes",E16="Crystal dust"),M16,M16*0.9)</f>
        <v>0</v>
      </c>
      <c r="Q16" s="10">
        <f>IFERROR(VLOOKUP("Amulet of chemistry",Prices!$A:$C,2,FALSE),"")</f>
        <v>1300</v>
      </c>
      <c r="R16" s="9">
        <f>IF(Config!$B$8,Q16/10,Q16/5)</f>
        <v>130</v>
      </c>
      <c r="S16" s="9">
        <f>IF(Config!$B$8,R16*0.15,R16*0.05)</f>
        <v>19.5</v>
      </c>
      <c r="T16" s="9">
        <f>J16+IF(Config!$B$6,SUM(N16,P16),SUM(K16:M16))+IF(Config!$B$7,S16,0)</f>
        <v>3557.3</v>
      </c>
      <c r="U16" s="10">
        <f>IF(Config!$B$3="low",IF($AC16,VLOOKUP($A16,Prices!$A:$C,3,FALSE),VLOOKUP($A16&amp;"(3)",Prices!$A:$C,3,FALSE)),IF($AC16,VLOOKUP($A16,Prices!$A:$C,2,FALSE),VLOOKUP($A16&amp;"(3)",Prices!$A:$C,2,FALSE)))</f>
        <v>2877</v>
      </c>
      <c r="V16" s="10">
        <f>IF(Config!$B$9,W16*3/4,U16)</f>
        <v>2974.5</v>
      </c>
      <c r="W16" s="10">
        <f>IF(Config!$B$3="low",IF($AC16,VLOOKUP($A16,Prices!$A:$C,3,FALSE),VLOOKUP($A16&amp;"(4)",Prices!$A:$C,3,FALSE)),IF($AC16,VLOOKUP($A16,Prices!$A:$C,2,FALSE),VLOOKUP($A16&amp;"(4)",Prices!$A:$C,2,FALSE)))</f>
        <v>3966</v>
      </c>
      <c r="X16" s="10">
        <f>IF(Config!$B$7,IF(Config!$B$8,V16*0.85+W16*0.15,V16*0.95+W16*0.05),V16)</f>
        <v>3123.2249999999999</v>
      </c>
      <c r="Y16" s="10">
        <f>_xlfn.CEILING.MATH(X16*0.98)</f>
        <v>3061</v>
      </c>
      <c r="Z16" s="11">
        <f>Y16-T16</f>
        <v>-496.30000000000018</v>
      </c>
      <c r="AA16">
        <v>125</v>
      </c>
      <c r="AB16" s="11">
        <f>Z16/AA16</f>
        <v>-3.9704000000000015</v>
      </c>
      <c r="AC16" s="12" t="b">
        <v>0</v>
      </c>
      <c r="AD16" s="10">
        <f>IF(AC16,VLOOKUP(A16,Prices!A:D,4,0),VLOOKUP(A16&amp;"(3)",Prices!A:D,4,0)*0.85+VLOOKUP(A16&amp;"(4)",Prices!A:D,4,0)*0.15)</f>
        <v>2379.5</v>
      </c>
      <c r="AE16" s="33">
        <v>55</v>
      </c>
    </row>
    <row r="17" spans="1:31" x14ac:dyDescent="0.35">
      <c r="A17" s="22" t="s">
        <v>108</v>
      </c>
      <c r="B17" s="8" t="s">
        <v>109</v>
      </c>
      <c r="C17" s="5" t="s">
        <v>110</v>
      </c>
      <c r="D17" s="6"/>
      <c r="E17" s="7"/>
      <c r="F17" s="31">
        <v>1</v>
      </c>
      <c r="G17" s="5">
        <v>1</v>
      </c>
      <c r="H17" s="6">
        <v>0</v>
      </c>
      <c r="I17" s="36">
        <v>0</v>
      </c>
      <c r="J17" s="44">
        <f>IF(ISBLANK(B17),0,IF(Config!$B$2="low", VLOOKUP(B17,Prices!$A:$C,3,FALSE), VLOOKUP(B17,Prices!$A:$C,2,FALSE))*F17)</f>
        <v>2671</v>
      </c>
      <c r="K17" s="45">
        <f>IF(ISBLANK(C17),0,IF(Config!$B$2="low", IF(C17="Crystal dust", VLOOKUP("Enhanced crystal teleport seed",Prices!$A:$C,3,FALSE)/1500, VLOOKUP(C17,Prices!$A:$C,3,FALSE)), IF(C17="Crystal dust", VLOOKUP("Enhanced crystal teleport seed",Prices!$A:$C,2,FALSE)/1500, VLOOKUP(C17,Prices!$A:$C,2,FALSE)))*G17)</f>
        <v>341</v>
      </c>
      <c r="L17" s="42">
        <f>IF(ISBLANK(D17),0,IF(Config!$B$2="low", IF(D17="Crystal dust", VLOOKUP("Enhanced crystal teleport seed",Prices!$A:$C,3,FALSE)/1500, VLOOKUP(D17,Prices!$A:$C,3,FALSE)), IF(D17="Crystal dust", VLOOKUP("Enhanced crystal teleport seed",Prices!$A:$C,2,FALSE)/1500, VLOOKUP(D17,Prices!$A:$C,2,FALSE)))*H17)</f>
        <v>0</v>
      </c>
      <c r="M17" s="43">
        <f>IF(ISBLANK(E17),0,IF(Config!$B$2="low", IF(E17="Crystal dust", VLOOKUP("Enhanced crystal teleport seed",Prices!$A:$C,3,FALSE)/1500, VLOOKUP(E17,Prices!$A:$C,3,FALSE)), IF(E17="Crystal dust", VLOOKUP("Enhanced crystal teleport seed",Prices!$A:$C,2,FALSE)/1500, VLOOKUP(E17,Prices!$A:$C,2,FALSE)))*I17)</f>
        <v>0</v>
      </c>
      <c r="N17" s="41">
        <f>IF(OR(C17="Ashes",C17="Crystal dust"),K17,K17*0.9)</f>
        <v>306.90000000000003</v>
      </c>
      <c r="O17" s="42">
        <f>IF(OR(D17="Ashes",D17="Crystal dust"),L17,L17*0.9)</f>
        <v>0</v>
      </c>
      <c r="P17" s="43">
        <f>IF(OR(E17="Ashes",E17="Crystal dust"),M17,M17*0.9)</f>
        <v>0</v>
      </c>
      <c r="Q17" s="10">
        <f>IFERROR(VLOOKUP("Amulet of chemistry",Prices!$A:$C,2,FALSE),"")</f>
        <v>1300</v>
      </c>
      <c r="R17" s="9">
        <f>IF(Config!$B$8,Q17/10,Q17/5)</f>
        <v>130</v>
      </c>
      <c r="S17" s="9">
        <f>IF(Config!$B$8,R17*0.15,R17*0.05)</f>
        <v>19.5</v>
      </c>
      <c r="T17" s="9">
        <f>J17+IF(Config!$B$6,SUM(N17,P17),SUM(K17:M17))+IF(Config!$B$7,S17,0)</f>
        <v>2997.4</v>
      </c>
      <c r="U17" s="10">
        <f>IF(Config!$B$3="low",IF($AC17,VLOOKUP($A17,Prices!$A:$C,3,FALSE),VLOOKUP($A17&amp;"(3)",Prices!$A:$C,3,FALSE)),IF($AC17,VLOOKUP($A17,Prices!$A:$C,2,FALSE),VLOOKUP($A17&amp;"(3)",Prices!$A:$C,2,FALSE)))</f>
        <v>2364</v>
      </c>
      <c r="V17" s="10">
        <f>IF(Config!$B$9,W17*3/4,U17)</f>
        <v>2363.25</v>
      </c>
      <c r="W17" s="10">
        <f>IF(Config!$B$3="low",IF($AC17,VLOOKUP($A17,Prices!$A:$C,3,FALSE),VLOOKUP($A17&amp;"(4)",Prices!$A:$C,3,FALSE)),IF($AC17,VLOOKUP($A17,Prices!$A:$C,2,FALSE),VLOOKUP($A17&amp;"(4)",Prices!$A:$C,2,FALSE)))</f>
        <v>3151</v>
      </c>
      <c r="X17" s="10">
        <f>IF(Config!$B$7,IF(Config!$B$8,V17*0.85+W17*0.15,V17*0.95+W17*0.05),V17)</f>
        <v>2481.4124999999999</v>
      </c>
      <c r="Y17" s="10">
        <f>_xlfn.CEILING.MATH(X17*0.98)</f>
        <v>2432</v>
      </c>
      <c r="Z17" s="11">
        <f>Y17-T17</f>
        <v>-565.40000000000009</v>
      </c>
      <c r="AA17">
        <v>117.5</v>
      </c>
      <c r="AB17" s="11">
        <f>Z17/AA17</f>
        <v>-4.811914893617022</v>
      </c>
      <c r="AC17" s="12" t="b">
        <v>0</v>
      </c>
      <c r="AD17" s="10">
        <f>IF(AC17,VLOOKUP(A17,Prices!A:D,4,0),VLOOKUP(A17&amp;"(3)",Prices!A:D,4,0)*0.85+VLOOKUP(A17&amp;"(4)",Prices!A:D,4,0)*0.15)</f>
        <v>8322.15</v>
      </c>
      <c r="AE17" s="33">
        <v>52</v>
      </c>
    </row>
    <row r="18" spans="1:31" x14ac:dyDescent="0.35">
      <c r="A18" s="22" t="s">
        <v>101</v>
      </c>
      <c r="B18" s="8" t="s">
        <v>102</v>
      </c>
      <c r="C18" s="5" t="s">
        <v>103</v>
      </c>
      <c r="D18" s="6"/>
      <c r="E18" s="7"/>
      <c r="F18" s="31">
        <v>1</v>
      </c>
      <c r="G18" s="5">
        <v>1</v>
      </c>
      <c r="H18" s="6">
        <v>0</v>
      </c>
      <c r="I18" s="36">
        <v>0</v>
      </c>
      <c r="J18" s="44">
        <f>IF(ISBLANK(B18),0,IF(Config!$B$2="low", VLOOKUP(B18,Prices!$A:$C,3,FALSE), VLOOKUP(B18,Prices!$A:$C,2,FALSE))*F18)</f>
        <v>2717</v>
      </c>
      <c r="K18" s="45">
        <f>IF(ISBLANK(C18),0,IF(Config!$B$2="low", IF(C18="Crystal dust", VLOOKUP("Enhanced crystal teleport seed",Prices!$A:$C,3,FALSE)/1500, VLOOKUP(C18,Prices!$A:$C,3,FALSE)), IF(C18="Crystal dust", VLOOKUP("Enhanced crystal teleport seed",Prices!$A:$C,2,FALSE)/1500, VLOOKUP(C18,Prices!$A:$C,2,FALSE)))*G18)</f>
        <v>4</v>
      </c>
      <c r="L18" s="42">
        <f>IF(ISBLANK(D18),0,IF(Config!$B$2="low", IF(D18="Crystal dust", VLOOKUP("Enhanced crystal teleport seed",Prices!$A:$C,3,FALSE)/1500, VLOOKUP(D18,Prices!$A:$C,3,FALSE)), IF(D18="Crystal dust", VLOOKUP("Enhanced crystal teleport seed",Prices!$A:$C,2,FALSE)/1500, VLOOKUP(D18,Prices!$A:$C,2,FALSE)))*H18)</f>
        <v>0</v>
      </c>
      <c r="M18" s="43">
        <f>IF(ISBLANK(E18),0,IF(Config!$B$2="low", IF(E18="Crystal dust", VLOOKUP("Enhanced crystal teleport seed",Prices!$A:$C,3,FALSE)/1500, VLOOKUP(E18,Prices!$A:$C,3,FALSE)), IF(E18="Crystal dust", VLOOKUP("Enhanced crystal teleport seed",Prices!$A:$C,2,FALSE)/1500, VLOOKUP(E18,Prices!$A:$C,2,FALSE)))*I18)</f>
        <v>0</v>
      </c>
      <c r="N18" s="41">
        <f>IF(OR(C18="Ashes",C18="Crystal dust"),K18,K18*0.9)</f>
        <v>3.6</v>
      </c>
      <c r="O18" s="42">
        <f>IF(OR(D18="Ashes",D18="Crystal dust"),L18,L18*0.9)</f>
        <v>0</v>
      </c>
      <c r="P18" s="43">
        <f>IF(OR(E18="Ashes",E18="Crystal dust"),M18,M18*0.9)</f>
        <v>0</v>
      </c>
      <c r="Q18" s="10">
        <f>IFERROR(VLOOKUP("Amulet of chemistry",Prices!$A:$C,2,FALSE),"")</f>
        <v>1300</v>
      </c>
      <c r="R18" s="9">
        <f>IF(Config!$B$8,Q18/10,Q18/5)</f>
        <v>130</v>
      </c>
      <c r="S18" s="9">
        <f>IF(Config!$B$8,R18*0.15,R18*0.05)</f>
        <v>19.5</v>
      </c>
      <c r="T18" s="9">
        <f>J18+IF(Config!$B$6,SUM(N18,P18),SUM(K18:M18))+IF(Config!$B$7,S18,0)</f>
        <v>2740.1</v>
      </c>
      <c r="U18" s="10">
        <f>IF(Config!$B$3="low",IF($AC18,VLOOKUP($A18,Prices!$A:$C,3,FALSE),VLOOKUP($A18&amp;"(3)",Prices!$A:$C,3,FALSE)),IF($AC18,VLOOKUP($A18,Prices!$A:$C,2,FALSE),VLOOKUP($A18&amp;"(3)",Prices!$A:$C,2,FALSE)))</f>
        <v>2227</v>
      </c>
      <c r="V18" s="10">
        <f>IF(Config!$B$9,W18*3/4,U18)</f>
        <v>2166</v>
      </c>
      <c r="W18" s="10">
        <f>IF(Config!$B$3="low",IF($AC18,VLOOKUP($A18,Prices!$A:$C,3,FALSE),VLOOKUP($A18&amp;"(4)",Prices!$A:$C,3,FALSE)),IF($AC18,VLOOKUP($A18,Prices!$A:$C,2,FALSE),VLOOKUP($A18&amp;"(4)",Prices!$A:$C,2,FALSE)))</f>
        <v>2888</v>
      </c>
      <c r="X18" s="10">
        <f>IF(Config!$B$7,IF(Config!$B$8,V18*0.85+W18*0.15,V18*0.95+W18*0.05),V18)</f>
        <v>2274.2999999999997</v>
      </c>
      <c r="Y18" s="10">
        <f>_xlfn.CEILING.MATH(X18*0.98)</f>
        <v>2229</v>
      </c>
      <c r="Z18" s="11">
        <f>Y18-T18</f>
        <v>-511.09999999999991</v>
      </c>
      <c r="AA18">
        <v>100</v>
      </c>
      <c r="AB18" s="11">
        <f>Z18/AA18</f>
        <v>-5.1109999999999989</v>
      </c>
      <c r="AC18" s="12" t="b">
        <v>0</v>
      </c>
      <c r="AD18" s="10">
        <f>IF(AC18,VLOOKUP(A18,Prices!A:D,4,0),VLOOKUP(A18&amp;"(3)",Prices!A:D,4,0)*0.85+VLOOKUP(A18&amp;"(4)",Prices!A:D,4,0)*0.15)</f>
        <v>4314.3499999999995</v>
      </c>
      <c r="AE18" s="33">
        <v>45</v>
      </c>
    </row>
    <row r="19" spans="1:31" x14ac:dyDescent="0.35">
      <c r="A19" s="22" t="s">
        <v>99</v>
      </c>
      <c r="B19" s="8" t="s">
        <v>100</v>
      </c>
      <c r="C19" s="5" t="s">
        <v>90</v>
      </c>
      <c r="D19" s="6"/>
      <c r="E19" s="7"/>
      <c r="F19" s="31">
        <v>1</v>
      </c>
      <c r="G19" s="5">
        <v>80</v>
      </c>
      <c r="H19" s="6">
        <v>0</v>
      </c>
      <c r="I19" s="36">
        <v>0</v>
      </c>
      <c r="J19" s="44">
        <f>IF(ISBLANK(B19),0,IF(Config!$B$2="low", VLOOKUP(B19,Prices!$A:$C,3,FALSE), VLOOKUP(B19,Prices!$A:$C,2,FALSE))*F19)</f>
        <v>3589</v>
      </c>
      <c r="K19" s="45">
        <f>IF(ISBLANK(C19),0,IF(Config!$B$2="low", IF(C19="Crystal dust", VLOOKUP("Enhanced crystal teleport seed",Prices!$A:$C,3,FALSE)/1500, VLOOKUP(C19,Prices!$A:$C,3,FALSE)), IF(C19="Crystal dust", VLOOKUP("Enhanced crystal teleport seed",Prices!$A:$C,2,FALSE)/1500, VLOOKUP(C19,Prices!$A:$C,2,FALSE)))*G19)</f>
        <v>1600</v>
      </c>
      <c r="L19" s="42">
        <f>IF(ISBLANK(D19),0,IF(Config!$B$2="low", IF(D19="Crystal dust", VLOOKUP("Enhanced crystal teleport seed",Prices!$A:$C,3,FALSE)/1500, VLOOKUP(D19,Prices!$A:$C,3,FALSE)), IF(D19="Crystal dust", VLOOKUP("Enhanced crystal teleport seed",Prices!$A:$C,2,FALSE)/1500, VLOOKUP(D19,Prices!$A:$C,2,FALSE)))*H19)</f>
        <v>0</v>
      </c>
      <c r="M19" s="43">
        <f>IF(ISBLANK(E19),0,IF(Config!$B$2="low", IF(E19="Crystal dust", VLOOKUP("Enhanced crystal teleport seed",Prices!$A:$C,3,FALSE)/1500, VLOOKUP(E19,Prices!$A:$C,3,FALSE)), IF(E19="Crystal dust", VLOOKUP("Enhanced crystal teleport seed",Prices!$A:$C,2,FALSE)/1500, VLOOKUP(E19,Prices!$A:$C,2,FALSE)))*I19)</f>
        <v>0</v>
      </c>
      <c r="N19" s="41">
        <f>IF(OR(C19="Ashes",C19="Crystal dust"),K19,K19*0.9)</f>
        <v>1440</v>
      </c>
      <c r="O19" s="42">
        <f>IF(OR(D19="Ashes",D19="Crystal dust"),L19,L19*0.9)</f>
        <v>0</v>
      </c>
      <c r="P19" s="43">
        <f>IF(OR(E19="Ashes",E19="Crystal dust"),M19,M19*0.9)</f>
        <v>0</v>
      </c>
      <c r="Q19" s="10">
        <f>IFERROR(VLOOKUP("Amulet of chemistry",Prices!$A:$C,2,FALSE),"")</f>
        <v>1300</v>
      </c>
      <c r="R19" s="9">
        <f>IF(Config!$B$8,Q19/10,Q19/5)</f>
        <v>130</v>
      </c>
      <c r="S19" s="9">
        <f>IF(Config!$B$8,R19*0.15,R19*0.05)</f>
        <v>19.5</v>
      </c>
      <c r="T19" s="9">
        <f>J19+IF(Config!$B$6,SUM(N19,P19),SUM(K19:M19))+IF(Config!$B$7,S19,0)</f>
        <v>5048.5</v>
      </c>
      <c r="U19" s="10">
        <f>IF(Config!$B$3="low",IF($AC19,VLOOKUP($A19,Prices!$A:$C,3,FALSE),VLOOKUP($A19&amp;"(3)",Prices!$A:$C,3,FALSE)),IF($AC19,VLOOKUP($A19,Prices!$A:$C,2,FALSE),VLOOKUP($A19&amp;"(3)",Prices!$A:$C,2,FALSE)))</f>
        <v>5552</v>
      </c>
      <c r="V19" s="10">
        <f>IF(Config!$B$9,W19*3/4,U19)</f>
        <v>4164</v>
      </c>
      <c r="W19" s="10">
        <f>IF(Config!$B$3="low",IF($AC19,VLOOKUP($A19,Prices!$A:$C,3,FALSE),VLOOKUP($A19&amp;"(4)",Prices!$A:$C,3,FALSE)),IF($AC19,VLOOKUP($A19,Prices!$A:$C,2,FALSE),VLOOKUP($A19&amp;"(4)",Prices!$A:$C,2,FALSE)))</f>
        <v>5552</v>
      </c>
      <c r="X19" s="10">
        <f>IF(Config!$B$7,IF(Config!$B$8,V19*0.85+W19*0.15,V19*0.95+W19*0.05),V19)</f>
        <v>4372.2</v>
      </c>
      <c r="Y19" s="10">
        <f>_xlfn.CEILING.MATH(X19*0.98)</f>
        <v>4285</v>
      </c>
      <c r="Z19" s="11">
        <f>Y19-T19</f>
        <v>-763.5</v>
      </c>
      <c r="AA19">
        <v>145</v>
      </c>
      <c r="AB19" s="11">
        <f>Z19/AA19</f>
        <v>-5.2655172413793103</v>
      </c>
      <c r="AC19" s="12" t="b">
        <v>1</v>
      </c>
      <c r="AD19" s="10">
        <f>IF(AC19,VLOOKUP(A19,Prices!A:D,4,0),VLOOKUP(A19&amp;"(3)",Prices!A:D,4,0)*0.85+VLOOKUP(A19&amp;"(4)",Prices!A:D,4,0)*0.15)</f>
        <v>9165</v>
      </c>
      <c r="AE19" s="33">
        <v>91</v>
      </c>
    </row>
    <row r="20" spans="1:31" x14ac:dyDescent="0.35">
      <c r="A20" s="22" t="s">
        <v>166</v>
      </c>
      <c r="B20" s="8" t="s">
        <v>167</v>
      </c>
      <c r="C20" s="5" t="s">
        <v>168</v>
      </c>
      <c r="D20" s="6"/>
      <c r="E20" s="7"/>
      <c r="F20" s="31">
        <v>1</v>
      </c>
      <c r="G20" s="5">
        <v>1</v>
      </c>
      <c r="H20" s="6">
        <v>0</v>
      </c>
      <c r="I20" s="36">
        <v>0</v>
      </c>
      <c r="J20" s="44">
        <f>IF(ISBLANK(B20),0,IF(Config!$B$2="low", VLOOKUP(B20,Prices!$A:$C,3,FALSE), VLOOKUP(B20,Prices!$A:$C,2,FALSE))*F20)</f>
        <v>226</v>
      </c>
      <c r="K20" s="45">
        <f>IF(ISBLANK(C20),0,IF(Config!$B$2="low", IF(C20="Crystal dust", VLOOKUP("Enhanced crystal teleport seed",Prices!$A:$C,3,FALSE)/1500, VLOOKUP(C20,Prices!$A:$C,3,FALSE)), IF(C20="Crystal dust", VLOOKUP("Enhanced crystal teleport seed",Prices!$A:$C,2,FALSE)/1500, VLOOKUP(C20,Prices!$A:$C,2,FALSE)))*G20)</f>
        <v>53</v>
      </c>
      <c r="L20" s="42">
        <f>IF(ISBLANK(D20),0,IF(Config!$B$2="low", IF(D20="Crystal dust", VLOOKUP("Enhanced crystal teleport seed",Prices!$A:$C,3,FALSE)/1500, VLOOKUP(D20,Prices!$A:$C,3,FALSE)), IF(D20="Crystal dust", VLOOKUP("Enhanced crystal teleport seed",Prices!$A:$C,2,FALSE)/1500, VLOOKUP(D20,Prices!$A:$C,2,FALSE)))*H20)</f>
        <v>0</v>
      </c>
      <c r="M20" s="43">
        <f>IF(ISBLANK(E20),0,IF(Config!$B$2="low", IF(E20="Crystal dust", VLOOKUP("Enhanced crystal teleport seed",Prices!$A:$C,3,FALSE)/1500, VLOOKUP(E20,Prices!$A:$C,3,FALSE)), IF(E20="Crystal dust", VLOOKUP("Enhanced crystal teleport seed",Prices!$A:$C,2,FALSE)/1500, VLOOKUP(E20,Prices!$A:$C,2,FALSE)))*I20)</f>
        <v>0</v>
      </c>
      <c r="N20" s="41">
        <f>IF(OR(C20="Ashes",C20="Crystal dust"),K20,K20*0.9)</f>
        <v>53</v>
      </c>
      <c r="O20" s="42">
        <f>IF(OR(D20="Ashes",D20="Crystal dust"),L20,L20*0.9)</f>
        <v>0</v>
      </c>
      <c r="P20" s="43">
        <f>IF(OR(E20="Ashes",E20="Crystal dust"),M20,M20*0.9)</f>
        <v>0</v>
      </c>
      <c r="Q20" s="10">
        <f>IFERROR(VLOOKUP("Amulet of chemistry",Prices!$A:$C,2,FALSE),"")</f>
        <v>1300</v>
      </c>
      <c r="R20" s="9">
        <f>IF(Config!$B$8,Q20/10,Q20/5)</f>
        <v>130</v>
      </c>
      <c r="S20" s="9">
        <f>IF(Config!$B$8,R20*0.15,R20*0.05)</f>
        <v>19.5</v>
      </c>
      <c r="T20" s="9">
        <f>J20+IF(Config!$B$6,SUM(N20,P20),SUM(K20:M20))+IF(Config!$B$7,S20,0)</f>
        <v>298.5</v>
      </c>
      <c r="U20" s="10">
        <f>IF(Config!$B$3="low",IF($AC20,VLOOKUP($A20,Prices!$A:$C,3,FALSE),VLOOKUP($A20&amp;"(3)",Prices!$A:$C,3,FALSE)),IF($AC20,VLOOKUP($A20,Prices!$A:$C,2,FALSE),VLOOKUP($A20&amp;"(3)",Prices!$A:$C,2,FALSE)))</f>
        <v>45</v>
      </c>
      <c r="V20" s="10">
        <f>IF(Config!$B$9,W20*3/4,U20)</f>
        <v>23.25</v>
      </c>
      <c r="W20" s="10">
        <f>IF(Config!$B$3="low",IF($AC20,VLOOKUP($A20,Prices!$A:$C,3,FALSE),VLOOKUP($A20&amp;"(4)",Prices!$A:$C,3,FALSE)),IF($AC20,VLOOKUP($A20,Prices!$A:$C,2,FALSE),VLOOKUP($A20&amp;"(4)",Prices!$A:$C,2,FALSE)))</f>
        <v>31</v>
      </c>
      <c r="X20" s="10">
        <f>IF(Config!$B$7,IF(Config!$B$8,V20*0.85+W20*0.15,V20*0.95+W20*0.05),V20)</f>
        <v>24.412499999999998</v>
      </c>
      <c r="Y20" s="10">
        <f>_xlfn.CEILING.MATH(X20*0.98)</f>
        <v>24</v>
      </c>
      <c r="Z20" s="11">
        <f>Y20-T20</f>
        <v>-274.5</v>
      </c>
      <c r="AA20">
        <v>50</v>
      </c>
      <c r="AB20" s="11">
        <f>Z20/AA20</f>
        <v>-5.49</v>
      </c>
      <c r="AC20" s="12" t="b">
        <v>0</v>
      </c>
      <c r="AD20" s="10">
        <f>IF(AC20,VLOOKUP(A20,Prices!A:D,4,0),VLOOKUP(A20&amp;"(3)",Prices!A:D,4,0)*0.85+VLOOKUP(A20&amp;"(4)",Prices!A:D,4,0)*0.15)</f>
        <v>0</v>
      </c>
      <c r="AE20" s="33">
        <v>15</v>
      </c>
    </row>
    <row r="21" spans="1:31" x14ac:dyDescent="0.35">
      <c r="A21" s="22" t="s">
        <v>113</v>
      </c>
      <c r="B21" s="8" t="s">
        <v>114</v>
      </c>
      <c r="C21" s="5" t="s">
        <v>115</v>
      </c>
      <c r="D21" s="6"/>
      <c r="E21" s="7"/>
      <c r="F21" s="31">
        <v>1</v>
      </c>
      <c r="G21" s="5">
        <v>1</v>
      </c>
      <c r="H21" s="6">
        <v>0</v>
      </c>
      <c r="I21" s="36">
        <v>0</v>
      </c>
      <c r="J21" s="44">
        <f>IF(ISBLANK(B21),0,IF(Config!$B$2="low", VLOOKUP(B21,Prices!$A:$C,3,FALSE), VLOOKUP(B21,Prices!$A:$C,2,FALSE))*F21)</f>
        <v>3437</v>
      </c>
      <c r="K21" s="45">
        <f>IF(ISBLANK(C21),0,IF(Config!$B$2="low", IF(C21="Crystal dust", VLOOKUP("Enhanced crystal teleport seed",Prices!$A:$C,3,FALSE)/1500, VLOOKUP(C21,Prices!$A:$C,3,FALSE)), IF(C21="Crystal dust", VLOOKUP("Enhanced crystal teleport seed",Prices!$A:$C,2,FALSE)/1500, VLOOKUP(C21,Prices!$A:$C,2,FALSE)))*G21)</f>
        <v>335</v>
      </c>
      <c r="L21" s="42">
        <f>IF(ISBLANK(D21),0,IF(Config!$B$2="low", IF(D21="Crystal dust", VLOOKUP("Enhanced crystal teleport seed",Prices!$A:$C,3,FALSE)/1500, VLOOKUP(D21,Prices!$A:$C,3,FALSE)), IF(D21="Crystal dust", VLOOKUP("Enhanced crystal teleport seed",Prices!$A:$C,2,FALSE)/1500, VLOOKUP(D21,Prices!$A:$C,2,FALSE)))*H21)</f>
        <v>0</v>
      </c>
      <c r="M21" s="43">
        <f>IF(ISBLANK(E21),0,IF(Config!$B$2="low", IF(E21="Crystal dust", VLOOKUP("Enhanced crystal teleport seed",Prices!$A:$C,3,FALSE)/1500, VLOOKUP(E21,Prices!$A:$C,3,FALSE)), IF(E21="Crystal dust", VLOOKUP("Enhanced crystal teleport seed",Prices!$A:$C,2,FALSE)/1500, VLOOKUP(E21,Prices!$A:$C,2,FALSE)))*I21)</f>
        <v>0</v>
      </c>
      <c r="N21" s="41">
        <f>IF(OR(C21="Ashes",C21="Crystal dust"),K21,K21*0.9)</f>
        <v>301.5</v>
      </c>
      <c r="O21" s="42">
        <f>IF(OR(D21="Ashes",D21="Crystal dust"),L21,L21*0.9)</f>
        <v>0</v>
      </c>
      <c r="P21" s="43">
        <f>IF(OR(E21="Ashes",E21="Crystal dust"),M21,M21*0.9)</f>
        <v>0</v>
      </c>
      <c r="Q21" s="10">
        <f>IFERROR(VLOOKUP("Amulet of chemistry",Prices!$A:$C,2,FALSE),"")</f>
        <v>1300</v>
      </c>
      <c r="R21" s="9">
        <f>IF(Config!$B$8,Q21/10,Q21/5)</f>
        <v>130</v>
      </c>
      <c r="S21" s="9">
        <f>IF(Config!$B$8,R21*0.15,R21*0.05)</f>
        <v>19.5</v>
      </c>
      <c r="T21" s="9">
        <f>J21+IF(Config!$B$6,SUM(N21,P21),SUM(K21:M21))+IF(Config!$B$7,S21,0)</f>
        <v>3758</v>
      </c>
      <c r="U21" s="10">
        <f>IF(Config!$B$3="low",IF($AC21,VLOOKUP($A21,Prices!$A:$C,3,FALSE),VLOOKUP($A21&amp;"(3)",Prices!$A:$C,3,FALSE)),IF($AC21,VLOOKUP($A21,Prices!$A:$C,2,FALSE),VLOOKUP($A21&amp;"(3)",Prices!$A:$C,2,FALSE)))</f>
        <v>2692</v>
      </c>
      <c r="V21" s="10">
        <f>IF(Config!$B$9,W21*3/4,U21)</f>
        <v>2834.25</v>
      </c>
      <c r="W21" s="10">
        <f>IF(Config!$B$3="low",IF($AC21,VLOOKUP($A21,Prices!$A:$C,3,FALSE),VLOOKUP($A21&amp;"(4)",Prices!$A:$C,3,FALSE)),IF($AC21,VLOOKUP($A21,Prices!$A:$C,2,FALSE),VLOOKUP($A21&amp;"(4)",Prices!$A:$C,2,FALSE)))</f>
        <v>3779</v>
      </c>
      <c r="X21" s="10">
        <f>IF(Config!$B$7,IF(Config!$B$8,V21*0.85+W21*0.15,V21*0.95+W21*0.05),V21)</f>
        <v>2975.9624999999996</v>
      </c>
      <c r="Y21" s="10">
        <f>_xlfn.CEILING.MATH(X21*0.98)</f>
        <v>2917</v>
      </c>
      <c r="Z21" s="11">
        <f>Y21-T21</f>
        <v>-841</v>
      </c>
      <c r="AA21">
        <v>150</v>
      </c>
      <c r="AB21" s="11">
        <f>Z21/AA21</f>
        <v>-5.6066666666666665</v>
      </c>
      <c r="AC21" s="12" t="b">
        <v>0</v>
      </c>
      <c r="AD21" s="10">
        <f>IF(AC21,VLOOKUP(A21,Prices!A:D,4,0),VLOOKUP(A21&amp;"(3)",Prices!A:D,4,0)*0.85+VLOOKUP(A21&amp;"(4)",Prices!A:D,4,0)*0.15)</f>
        <v>1427.95</v>
      </c>
      <c r="AE21" s="33">
        <v>66</v>
      </c>
    </row>
    <row r="22" spans="1:31" x14ac:dyDescent="0.35">
      <c r="A22" s="22" t="s">
        <v>154</v>
      </c>
      <c r="B22" s="8" t="s">
        <v>77</v>
      </c>
      <c r="C22" s="5" t="s">
        <v>155</v>
      </c>
      <c r="D22" s="6"/>
      <c r="E22" s="7"/>
      <c r="F22" s="31">
        <v>1</v>
      </c>
      <c r="G22" s="5">
        <v>1</v>
      </c>
      <c r="H22" s="6">
        <v>0</v>
      </c>
      <c r="I22" s="36">
        <v>0</v>
      </c>
      <c r="J22" s="44">
        <f>IF(ISBLANK(B22),0,IF(Config!$B$2="low", VLOOKUP(B22,Prices!$A:$C,3,FALSE), VLOOKUP(B22,Prices!$A:$C,2,FALSE))*F22)</f>
        <v>632</v>
      </c>
      <c r="K22" s="45">
        <f>IF(ISBLANK(C22),0,IF(Config!$B$2="low", IF(C22="Crystal dust", VLOOKUP("Enhanced crystal teleport seed",Prices!$A:$C,3,FALSE)/1500, VLOOKUP(C22,Prices!$A:$C,3,FALSE)), IF(C22="Crystal dust", VLOOKUP("Enhanced crystal teleport seed",Prices!$A:$C,2,FALSE)/1500, VLOOKUP(C22,Prices!$A:$C,2,FALSE)))*G22)</f>
        <v>74</v>
      </c>
      <c r="L22" s="42">
        <f>IF(ISBLANK(D22),0,IF(Config!$B$2="low", IF(D22="Crystal dust", VLOOKUP("Enhanced crystal teleport seed",Prices!$A:$C,3,FALSE)/1500, VLOOKUP(D22,Prices!$A:$C,3,FALSE)), IF(D22="Crystal dust", VLOOKUP("Enhanced crystal teleport seed",Prices!$A:$C,2,FALSE)/1500, VLOOKUP(D22,Prices!$A:$C,2,FALSE)))*H22)</f>
        <v>0</v>
      </c>
      <c r="M22" s="43">
        <f>IF(ISBLANK(E22),0,IF(Config!$B$2="low", IF(E22="Crystal dust", VLOOKUP("Enhanced crystal teleport seed",Prices!$A:$C,3,FALSE)/1500, VLOOKUP(E22,Prices!$A:$C,3,FALSE)), IF(E22="Crystal dust", VLOOKUP("Enhanced crystal teleport seed",Prices!$A:$C,2,FALSE)/1500, VLOOKUP(E22,Prices!$A:$C,2,FALSE)))*I22)</f>
        <v>0</v>
      </c>
      <c r="N22" s="41">
        <f>IF(OR(C22="Ashes",C22="Crystal dust"),K22,K22*0.9)</f>
        <v>66.600000000000009</v>
      </c>
      <c r="O22" s="42">
        <f>IF(OR(D22="Ashes",D22="Crystal dust"),L22,L22*0.9)</f>
        <v>0</v>
      </c>
      <c r="P22" s="43">
        <f>IF(OR(E22="Ashes",E22="Crystal dust"),M22,M22*0.9)</f>
        <v>0</v>
      </c>
      <c r="Q22" s="10">
        <f>IFERROR(VLOOKUP("Amulet of chemistry",Prices!$A:$C,2,FALSE),"")</f>
        <v>1300</v>
      </c>
      <c r="R22" s="9">
        <f>IF(Config!$B$8,Q22/10,Q22/5)</f>
        <v>130</v>
      </c>
      <c r="S22" s="9">
        <f>IF(Config!$B$8,R22*0.15,R22*0.05)</f>
        <v>19.5</v>
      </c>
      <c r="T22" s="9">
        <f>J22+IF(Config!$B$6,SUM(N22,P22),SUM(K22:M22))+IF(Config!$B$7,S22,0)</f>
        <v>718.1</v>
      </c>
      <c r="U22" s="10">
        <f>IF(Config!$B$3="low",IF($AC22,VLOOKUP($A22,Prices!$A:$C,3,FALSE),VLOOKUP($A22&amp;"(3)",Prices!$A:$C,3,FALSE)),IF($AC22,VLOOKUP($A22,Prices!$A:$C,2,FALSE),VLOOKUP($A22&amp;"(3)",Prices!$A:$C,2,FALSE)))</f>
        <v>195</v>
      </c>
      <c r="V22" s="10">
        <f>IF(Config!$B$9,W22*3/4,U22)</f>
        <v>211.5</v>
      </c>
      <c r="W22" s="10">
        <f>IF(Config!$B$3="low",IF($AC22,VLOOKUP($A22,Prices!$A:$C,3,FALSE),VLOOKUP($A22&amp;"(4)",Prices!$A:$C,3,FALSE)),IF($AC22,VLOOKUP($A22,Prices!$A:$C,2,FALSE),VLOOKUP($A22&amp;"(4)",Prices!$A:$C,2,FALSE)))</f>
        <v>282</v>
      </c>
      <c r="X22" s="10">
        <f>IF(Config!$B$7,IF(Config!$B$8,V22*0.85+W22*0.15,V22*0.95+W22*0.05),V22)</f>
        <v>222.07499999999999</v>
      </c>
      <c r="Y22" s="10">
        <f>_xlfn.CEILING.MATH(X22*0.98)</f>
        <v>218</v>
      </c>
      <c r="Z22" s="11">
        <f>Y22-T22</f>
        <v>-500.1</v>
      </c>
      <c r="AA22">
        <v>84</v>
      </c>
      <c r="AB22" s="11">
        <f>Z22/AA22</f>
        <v>-5.9535714285714292</v>
      </c>
      <c r="AC22" s="12" t="b">
        <v>0</v>
      </c>
      <c r="AD22" s="10">
        <f>IF(AC22,VLOOKUP(A22,Prices!A:D,4,0),VLOOKUP(A22&amp;"(3)",Prices!A:D,4,0)*0.85+VLOOKUP(A22&amp;"(4)",Prices!A:D,4,0)*0.15)</f>
        <v>70.2</v>
      </c>
      <c r="AE22" s="33">
        <v>36</v>
      </c>
    </row>
    <row r="23" spans="1:31" x14ac:dyDescent="0.35">
      <c r="A23" s="22" t="s">
        <v>81</v>
      </c>
      <c r="B23" s="8" t="s">
        <v>82</v>
      </c>
      <c r="C23" s="5" t="s">
        <v>83</v>
      </c>
      <c r="D23" s="6"/>
      <c r="E23" s="7"/>
      <c r="F23" s="31">
        <v>1</v>
      </c>
      <c r="G23" s="5">
        <v>1</v>
      </c>
      <c r="H23" s="6">
        <v>0</v>
      </c>
      <c r="I23" s="36">
        <v>0</v>
      </c>
      <c r="J23" s="44">
        <f>IF(ISBLANK(B23),0,IF(Config!$B$2="low", VLOOKUP(B23,Prices!$A:$C,3,FALSE), VLOOKUP(B23,Prices!$A:$C,2,FALSE))*F23)</f>
        <v>8810</v>
      </c>
      <c r="K23" s="45">
        <f>IF(ISBLANK(C23),0,IF(Config!$B$2="low", IF(C23="Crystal dust", VLOOKUP("Enhanced crystal teleport seed",Prices!$A:$C,3,FALSE)/1500, VLOOKUP(C23,Prices!$A:$C,3,FALSE)), IF(C23="Crystal dust", VLOOKUP("Enhanced crystal teleport seed",Prices!$A:$C,2,FALSE)/1500, VLOOKUP(C23,Prices!$A:$C,2,FALSE)))*G23)</f>
        <v>181</v>
      </c>
      <c r="L23" s="42">
        <f>IF(ISBLANK(D23),0,IF(Config!$B$2="low", IF(D23="Crystal dust", VLOOKUP("Enhanced crystal teleport seed",Prices!$A:$C,3,FALSE)/1500, VLOOKUP(D23,Prices!$A:$C,3,FALSE)), IF(D23="Crystal dust", VLOOKUP("Enhanced crystal teleport seed",Prices!$A:$C,2,FALSE)/1500, VLOOKUP(D23,Prices!$A:$C,2,FALSE)))*H23)</f>
        <v>0</v>
      </c>
      <c r="M23" s="43">
        <f>IF(ISBLANK(E23),0,IF(Config!$B$2="low", IF(E23="Crystal dust", VLOOKUP("Enhanced crystal teleport seed",Prices!$A:$C,3,FALSE)/1500, VLOOKUP(E23,Prices!$A:$C,3,FALSE)), IF(E23="Crystal dust", VLOOKUP("Enhanced crystal teleport seed",Prices!$A:$C,2,FALSE)/1500, VLOOKUP(E23,Prices!$A:$C,2,FALSE)))*I23)</f>
        <v>0</v>
      </c>
      <c r="N23" s="41">
        <f>IF(OR(C23="Ashes",C23="Crystal dust"),K23,K23*0.9)</f>
        <v>162.9</v>
      </c>
      <c r="O23" s="42">
        <f>IF(OR(D23="Ashes",D23="Crystal dust"),L23,L23*0.9)</f>
        <v>0</v>
      </c>
      <c r="P23" s="43">
        <f>IF(OR(E23="Ashes",E23="Crystal dust"),M23,M23*0.9)</f>
        <v>0</v>
      </c>
      <c r="Q23" s="10">
        <f>IFERROR(VLOOKUP("Amulet of chemistry",Prices!$A:$C,2,FALSE),"")</f>
        <v>1300</v>
      </c>
      <c r="R23" s="9">
        <f>IF(Config!$B$8,Q23/10,Q23/5)</f>
        <v>130</v>
      </c>
      <c r="S23" s="9">
        <f>IF(Config!$B$8,R23*0.15,R23*0.05)</f>
        <v>19.5</v>
      </c>
      <c r="T23" s="9">
        <f>J23+IF(Config!$B$6,SUM(N23,P23),SUM(K23:M23))+IF(Config!$B$7,S23,0)</f>
        <v>8992.4</v>
      </c>
      <c r="U23" s="10">
        <f>IF(Config!$B$3="low",IF($AC23,VLOOKUP($A23,Prices!$A:$C,3,FALSE),VLOOKUP($A23&amp;"(3)",Prices!$A:$C,3,FALSE)),IF($AC23,VLOOKUP($A23,Prices!$A:$C,2,FALSE),VLOOKUP($A23&amp;"(3)",Prices!$A:$C,2,FALSE)))</f>
        <v>7828</v>
      </c>
      <c r="V23" s="10">
        <f>IF(Config!$B$9,W23*3/4,U23)</f>
        <v>7837.5</v>
      </c>
      <c r="W23" s="10">
        <f>IF(Config!$B$3="low",IF($AC23,VLOOKUP($A23,Prices!$A:$C,3,FALSE),VLOOKUP($A23&amp;"(4)",Prices!$A:$C,3,FALSE)),IF($AC23,VLOOKUP($A23,Prices!$A:$C,2,FALSE),VLOOKUP($A23&amp;"(4)",Prices!$A:$C,2,FALSE)))</f>
        <v>10450</v>
      </c>
      <c r="X23" s="10">
        <f>IF(Config!$B$7,IF(Config!$B$8,V23*0.85+W23*0.15,V23*0.95+W23*0.05),V23)</f>
        <v>8229.375</v>
      </c>
      <c r="Y23" s="10">
        <f>_xlfn.CEILING.MATH(X23*0.98)</f>
        <v>8065</v>
      </c>
      <c r="Z23" s="11">
        <f>Y23-T23</f>
        <v>-927.39999999999964</v>
      </c>
      <c r="AA23">
        <v>142.5</v>
      </c>
      <c r="AB23" s="11">
        <f>Z23/AA23</f>
        <v>-6.5080701754385943</v>
      </c>
      <c r="AC23" s="12" t="b">
        <v>0</v>
      </c>
      <c r="AD23" s="10">
        <f>IF(AC23,VLOOKUP(A23,Prices!A:D,4,0),VLOOKUP(A23&amp;"(3)",Prices!A:D,4,0)*0.85+VLOOKUP(A23&amp;"(4)",Prices!A:D,4,0)*0.15)</f>
        <v>9758.5</v>
      </c>
      <c r="AE23" s="33">
        <v>63</v>
      </c>
    </row>
    <row r="24" spans="1:31" x14ac:dyDescent="0.35">
      <c r="A24" s="22" t="s">
        <v>172</v>
      </c>
      <c r="B24" s="8" t="s">
        <v>173</v>
      </c>
      <c r="C24" s="5" t="s">
        <v>128</v>
      </c>
      <c r="D24" s="6"/>
      <c r="E24" s="7"/>
      <c r="F24" s="31">
        <v>1</v>
      </c>
      <c r="G24" s="5">
        <v>1</v>
      </c>
      <c r="H24" s="6">
        <v>0</v>
      </c>
      <c r="I24" s="36">
        <v>0</v>
      </c>
      <c r="J24" s="44">
        <f>IF(ISBLANK(B24),0,IF(Config!$B$2="low", VLOOKUP(B24,Prices!$A:$C,3,FALSE), VLOOKUP(B24,Prices!$A:$C,2,FALSE))*F24)</f>
        <v>200</v>
      </c>
      <c r="K24" s="45">
        <f>IF(ISBLANK(C24),0,IF(Config!$B$2="low", IF(C24="Crystal dust", VLOOKUP("Enhanced crystal teleport seed",Prices!$A:$C,3,FALSE)/1500, VLOOKUP(C24,Prices!$A:$C,3,FALSE)), IF(C24="Crystal dust", VLOOKUP("Enhanced crystal teleport seed",Prices!$A:$C,2,FALSE)/1500, VLOOKUP(C24,Prices!$A:$C,2,FALSE)))*G24)</f>
        <v>185</v>
      </c>
      <c r="L24" s="42">
        <f>IF(ISBLANK(D24),0,IF(Config!$B$2="low", IF(D24="Crystal dust", VLOOKUP("Enhanced crystal teleport seed",Prices!$A:$C,3,FALSE)/1500, VLOOKUP(D24,Prices!$A:$C,3,FALSE)), IF(D24="Crystal dust", VLOOKUP("Enhanced crystal teleport seed",Prices!$A:$C,2,FALSE)/1500, VLOOKUP(D24,Prices!$A:$C,2,FALSE)))*H24)</f>
        <v>0</v>
      </c>
      <c r="M24" s="43">
        <f>IF(ISBLANK(E24),0,IF(Config!$B$2="low", IF(E24="Crystal dust", VLOOKUP("Enhanced crystal teleport seed",Prices!$A:$C,3,FALSE)/1500, VLOOKUP(E24,Prices!$A:$C,3,FALSE)), IF(E24="Crystal dust", VLOOKUP("Enhanced crystal teleport seed",Prices!$A:$C,2,FALSE)/1500, VLOOKUP(E24,Prices!$A:$C,2,FALSE)))*I24)</f>
        <v>0</v>
      </c>
      <c r="N24" s="41">
        <f>IF(OR(C24="Ashes",C24="Crystal dust"),K24,K24*0.9)</f>
        <v>166.5</v>
      </c>
      <c r="O24" s="42">
        <f>IF(OR(D24="Ashes",D24="Crystal dust"),L24,L24*0.9)</f>
        <v>0</v>
      </c>
      <c r="P24" s="43">
        <f>IF(OR(E24="Ashes",E24="Crystal dust"),M24,M24*0.9)</f>
        <v>0</v>
      </c>
      <c r="Q24" s="10">
        <f>IFERROR(VLOOKUP("Amulet of chemistry",Prices!$A:$C,2,FALSE),"")</f>
        <v>1300</v>
      </c>
      <c r="R24" s="9">
        <f>IF(Config!$B$8,Q24/10,Q24/5)</f>
        <v>130</v>
      </c>
      <c r="S24" s="9">
        <f>IF(Config!$B$8,R24*0.15,R24*0.05)</f>
        <v>19.5</v>
      </c>
      <c r="T24" s="9">
        <f>J24+IF(Config!$B$6,SUM(N24,P24),SUM(K24:M24))+IF(Config!$B$7,S24,0)</f>
        <v>386</v>
      </c>
      <c r="U24" s="10">
        <f>IF(Config!$B$3="low",IF($AC24,VLOOKUP($A24,Prices!$A:$C,3,FALSE),VLOOKUP($A24&amp;"(3)",Prices!$A:$C,3,FALSE)),IF($AC24,VLOOKUP($A24,Prices!$A:$C,2,FALSE),VLOOKUP($A24&amp;"(3)",Prices!$A:$C,2,FALSE)))</f>
        <v>177</v>
      </c>
      <c r="V24" s="10">
        <f>IF(Config!$B$9,W24*3/4,U24)</f>
        <v>117.75</v>
      </c>
      <c r="W24" s="10">
        <f>IF(Config!$B$3="low",IF($AC24,VLOOKUP($A24,Prices!$A:$C,3,FALSE),VLOOKUP($A24&amp;"(4)",Prices!$A:$C,3,FALSE)),IF($AC24,VLOOKUP($A24,Prices!$A:$C,2,FALSE),VLOOKUP($A24&amp;"(4)",Prices!$A:$C,2,FALSE)))</f>
        <v>157</v>
      </c>
      <c r="X24" s="10">
        <f>IF(Config!$B$7,IF(Config!$B$8,V24*0.85+W24*0.15,V24*0.95+W24*0.05),V24)</f>
        <v>123.63749999999999</v>
      </c>
      <c r="Y24" s="10">
        <f>_xlfn.CEILING.MATH(X24*0.98)</f>
        <v>122</v>
      </c>
      <c r="Z24" s="11">
        <f>Y24-T24</f>
        <v>-264</v>
      </c>
      <c r="AA24">
        <v>37.5</v>
      </c>
      <c r="AB24" s="11">
        <f>Z24/AA24</f>
        <v>-7.04</v>
      </c>
      <c r="AC24" s="12" t="b">
        <v>0</v>
      </c>
      <c r="AD24" s="10">
        <f>IF(AC24,VLOOKUP(A24,Prices!A:D,4,0),VLOOKUP(A24&amp;"(3)",Prices!A:D,4,0)*0.85+VLOOKUP(A24&amp;"(4)",Prices!A:D,4,0)*0.15)</f>
        <v>393.9</v>
      </c>
      <c r="AE24" s="33">
        <v>5</v>
      </c>
    </row>
    <row r="25" spans="1:31" x14ac:dyDescent="0.35">
      <c r="A25" s="22" t="s">
        <v>124</v>
      </c>
      <c r="B25" s="8" t="s">
        <v>125</v>
      </c>
      <c r="C25" s="5" t="s">
        <v>126</v>
      </c>
      <c r="D25" s="6"/>
      <c r="E25" s="7"/>
      <c r="F25" s="31">
        <v>1</v>
      </c>
      <c r="G25" s="5">
        <v>1</v>
      </c>
      <c r="H25" s="6">
        <v>0</v>
      </c>
      <c r="I25" s="36">
        <v>0</v>
      </c>
      <c r="J25" s="44">
        <f>IF(ISBLANK(B25),0,IF(Config!$B$2="low", VLOOKUP(B25,Prices!$A:$C,3,FALSE), VLOOKUP(B25,Prices!$A:$C,2,FALSE))*F25)</f>
        <v>3210</v>
      </c>
      <c r="K25" s="45">
        <f>IF(ISBLANK(C25),0,IF(Config!$B$2="low", IF(C25="Crystal dust", VLOOKUP("Enhanced crystal teleport seed",Prices!$A:$C,3,FALSE)/1500, VLOOKUP(C25,Prices!$A:$C,3,FALSE)), IF(C25="Crystal dust", VLOOKUP("Enhanced crystal teleport seed",Prices!$A:$C,2,FALSE)/1500, VLOOKUP(C25,Prices!$A:$C,2,FALSE)))*G25)</f>
        <v>4958</v>
      </c>
      <c r="L25" s="42">
        <f>IF(ISBLANK(D25),0,IF(Config!$B$2="low", IF(D25="Crystal dust", VLOOKUP("Enhanced crystal teleport seed",Prices!$A:$C,3,FALSE)/1500, VLOOKUP(D25,Prices!$A:$C,3,FALSE)), IF(D25="Crystal dust", VLOOKUP("Enhanced crystal teleport seed",Prices!$A:$C,2,FALSE)/1500, VLOOKUP(D25,Prices!$A:$C,2,FALSE)))*H25)</f>
        <v>0</v>
      </c>
      <c r="M25" s="43">
        <f>IF(ISBLANK(E25),0,IF(Config!$B$2="low", IF(E25="Crystal dust", VLOOKUP("Enhanced crystal teleport seed",Prices!$A:$C,3,FALSE)/1500, VLOOKUP(E25,Prices!$A:$C,3,FALSE)), IF(E25="Crystal dust", VLOOKUP("Enhanced crystal teleport seed",Prices!$A:$C,2,FALSE)/1500, VLOOKUP(E25,Prices!$A:$C,2,FALSE)))*I25)</f>
        <v>0</v>
      </c>
      <c r="N25" s="41">
        <f>IF(OR(C25="Ashes",C25="Crystal dust"),K25,K25*0.9)</f>
        <v>4462.2</v>
      </c>
      <c r="O25" s="42">
        <f>IF(OR(D25="Ashes",D25="Crystal dust"),L25,L25*0.9)</f>
        <v>0</v>
      </c>
      <c r="P25" s="43">
        <f>IF(OR(E25="Ashes",E25="Crystal dust"),M25,M25*0.9)</f>
        <v>0</v>
      </c>
      <c r="Q25" s="10">
        <f>IFERROR(VLOOKUP("Amulet of chemistry",Prices!$A:$C,2,FALSE),"")</f>
        <v>1300</v>
      </c>
      <c r="R25" s="9">
        <f>IF(Config!$B$8,Q25/10,Q25/5)</f>
        <v>130</v>
      </c>
      <c r="S25" s="9">
        <f>IF(Config!$B$8,R25*0.15,R25*0.05)</f>
        <v>19.5</v>
      </c>
      <c r="T25" s="9">
        <f>J25+IF(Config!$B$6,SUM(N25,P25),SUM(K25:M25))+IF(Config!$B$7,S25,0)</f>
        <v>7691.7</v>
      </c>
      <c r="U25" s="10">
        <f>IF(Config!$B$3="low",IF($AC25,VLOOKUP($A25,Prices!$A:$C,3,FALSE),VLOOKUP($A25&amp;"(3)",Prices!$A:$C,3,FALSE)),IF($AC25,VLOOKUP($A25,Prices!$A:$C,2,FALSE),VLOOKUP($A25&amp;"(3)",Prices!$A:$C,2,FALSE)))</f>
        <v>5937</v>
      </c>
      <c r="V25" s="10">
        <f>IF(Config!$B$9,W25*3/4,U25)</f>
        <v>6215.25</v>
      </c>
      <c r="W25" s="10">
        <f>IF(Config!$B$3="low",IF($AC25,VLOOKUP($A25,Prices!$A:$C,3,FALSE),VLOOKUP($A25&amp;"(4)",Prices!$A:$C,3,FALSE)),IF($AC25,VLOOKUP($A25,Prices!$A:$C,2,FALSE),VLOOKUP($A25&amp;"(4)",Prices!$A:$C,2,FALSE)))</f>
        <v>8287</v>
      </c>
      <c r="X25" s="10">
        <f>IF(Config!$B$7,IF(Config!$B$8,V25*0.85+W25*0.15,V25*0.95+W25*0.05),V25)</f>
        <v>6526.0124999999998</v>
      </c>
      <c r="Y25" s="10">
        <f>_xlfn.CEILING.MATH(X25*0.98)</f>
        <v>6396</v>
      </c>
      <c r="Z25" s="11">
        <f>Y25-T25</f>
        <v>-1295.6999999999998</v>
      </c>
      <c r="AA25">
        <v>180</v>
      </c>
      <c r="AB25" s="11">
        <f>Z25/AA25</f>
        <v>-7.1983333333333324</v>
      </c>
      <c r="AC25" s="12" t="b">
        <v>0</v>
      </c>
      <c r="AD25" s="10">
        <f>IF(AC25,VLOOKUP(A25,Prices!A:D,4,0),VLOOKUP(A25&amp;"(3)",Prices!A:D,4,0)*0.85+VLOOKUP(A25&amp;"(4)",Prices!A:D,4,0)*0.15)</f>
        <v>31531.15</v>
      </c>
      <c r="AE25" s="33">
        <v>81</v>
      </c>
    </row>
    <row r="26" spans="1:31" x14ac:dyDescent="0.35">
      <c r="A26" s="22" t="s">
        <v>76</v>
      </c>
      <c r="B26" s="8" t="s">
        <v>77</v>
      </c>
      <c r="C26" s="5" t="s">
        <v>63</v>
      </c>
      <c r="D26" s="6"/>
      <c r="E26" s="7"/>
      <c r="F26" s="31">
        <v>1</v>
      </c>
      <c r="G26" s="5">
        <v>1</v>
      </c>
      <c r="H26" s="6">
        <v>0</v>
      </c>
      <c r="I26" s="36">
        <v>0</v>
      </c>
      <c r="J26" s="44">
        <f>IF(ISBLANK(B26),0,IF(Config!$B$2="low", VLOOKUP(B26,Prices!$A:$C,3,FALSE), VLOOKUP(B26,Prices!$A:$C,2,FALSE))*F26)</f>
        <v>632</v>
      </c>
      <c r="K26" s="45">
        <f>IF(ISBLANK(C26),0,IF(Config!$B$2="low", IF(C26="Crystal dust", VLOOKUP("Enhanced crystal teleport seed",Prices!$A:$C,3,FALSE)/1500, VLOOKUP(C26,Prices!$A:$C,3,FALSE)), IF(C26="Crystal dust", VLOOKUP("Enhanced crystal teleport seed",Prices!$A:$C,2,FALSE)/1500, VLOOKUP(C26,Prices!$A:$C,2,FALSE)))*G26)</f>
        <v>42400</v>
      </c>
      <c r="L26" s="42">
        <f>IF(ISBLANK(D26),0,IF(Config!$B$2="low", IF(D26="Crystal dust", VLOOKUP("Enhanced crystal teleport seed",Prices!$A:$C,3,FALSE)/1500, VLOOKUP(D26,Prices!$A:$C,3,FALSE)), IF(D26="Crystal dust", VLOOKUP("Enhanced crystal teleport seed",Prices!$A:$C,2,FALSE)/1500, VLOOKUP(D26,Prices!$A:$C,2,FALSE)))*H26)</f>
        <v>0</v>
      </c>
      <c r="M26" s="43">
        <f>IF(ISBLANK(E26),0,IF(Config!$B$2="low", IF(E26="Crystal dust", VLOOKUP("Enhanced crystal teleport seed",Prices!$A:$C,3,FALSE)/1500, VLOOKUP(E26,Prices!$A:$C,3,FALSE)), IF(E26="Crystal dust", VLOOKUP("Enhanced crystal teleport seed",Prices!$A:$C,2,FALSE)/1500, VLOOKUP(E26,Prices!$A:$C,2,FALSE)))*I26)</f>
        <v>0</v>
      </c>
      <c r="N26" s="41">
        <f>IF(OR(C26="Ashes",C26="Crystal dust"),K26,K26*0.9)</f>
        <v>38160</v>
      </c>
      <c r="O26" s="42">
        <f>IF(OR(D26="Ashes",D26="Crystal dust"),L26,L26*0.9)</f>
        <v>0</v>
      </c>
      <c r="P26" s="43">
        <f>IF(OR(E26="Ashes",E26="Crystal dust"),M26,M26*0.9)</f>
        <v>0</v>
      </c>
      <c r="Q26" s="10">
        <f>IFERROR(VLOOKUP("Amulet of chemistry",Prices!$A:$C,2,FALSE),"")</f>
        <v>1300</v>
      </c>
      <c r="R26" s="9">
        <f>IF(Config!$B$8,Q26/10,Q26/5)</f>
        <v>130</v>
      </c>
      <c r="S26" s="9">
        <f>IF(Config!$B$8,R26*0.15,R26*0.05)</f>
        <v>19.5</v>
      </c>
      <c r="T26" s="9">
        <f>J26+IF(Config!$B$6,SUM(N26,P26),SUM(K26:M26))+IF(Config!$B$7,S26,0)</f>
        <v>38811.5</v>
      </c>
      <c r="U26" s="10">
        <f>IF(Config!$B$3="low",IF($AC26,VLOOKUP($A26,Prices!$A:$C,3,FALSE),VLOOKUP($A26&amp;"(3)",Prices!$A:$C,3,FALSE)),IF($AC26,VLOOKUP($A26,Prices!$A:$C,2,FALSE),VLOOKUP($A26&amp;"(3)",Prices!$A:$C,2,FALSE)))</f>
        <v>35013</v>
      </c>
      <c r="V26" s="10">
        <f>IF(Config!$B$9,W26*3/4,U26)</f>
        <v>36750</v>
      </c>
      <c r="W26" s="10">
        <f>IF(Config!$B$3="low",IF($AC26,VLOOKUP($A26,Prices!$A:$C,3,FALSE),VLOOKUP($A26&amp;"(4)",Prices!$A:$C,3,FALSE)),IF($AC26,VLOOKUP($A26,Prices!$A:$C,2,FALSE),VLOOKUP($A26&amp;"(4)",Prices!$A:$C,2,FALSE)))</f>
        <v>49000</v>
      </c>
      <c r="X26" s="10">
        <f>IF(Config!$B$7,IF(Config!$B$8,V26*0.85+W26*0.15,V26*0.95+W26*0.05),V26)</f>
        <v>38587.5</v>
      </c>
      <c r="Y26" s="10">
        <f>_xlfn.CEILING.MATH(X26*0.98)</f>
        <v>37816</v>
      </c>
      <c r="Z26" s="11">
        <f>Y26-T26</f>
        <v>-995.5</v>
      </c>
      <c r="AA26">
        <v>132</v>
      </c>
      <c r="AB26" s="11">
        <f>Z26/AA26</f>
        <v>-7.541666666666667</v>
      </c>
      <c r="AC26" s="12" t="b">
        <v>0</v>
      </c>
      <c r="AD26" s="10">
        <f>IF(AC26,VLOOKUP(A26,Prices!A:D,4,0),VLOOKUP(A26&amp;"(3)",Prices!A:D,4,0)*0.85+VLOOKUP(A26&amp;"(4)",Prices!A:D,4,0)*0.15)</f>
        <v>88.749999999999986</v>
      </c>
      <c r="AE26" s="33">
        <v>54</v>
      </c>
    </row>
    <row r="27" spans="1:31" x14ac:dyDescent="0.35">
      <c r="A27" s="22" t="s">
        <v>140</v>
      </c>
      <c r="B27" s="8" t="s">
        <v>141</v>
      </c>
      <c r="C27" s="5" t="s">
        <v>55</v>
      </c>
      <c r="D27" s="6"/>
      <c r="E27" s="7"/>
      <c r="F27" s="31">
        <v>1</v>
      </c>
      <c r="G27" s="5">
        <v>3</v>
      </c>
      <c r="H27" s="6">
        <v>0</v>
      </c>
      <c r="I27" s="36">
        <v>0</v>
      </c>
      <c r="J27" s="44">
        <f>IF(ISBLANK(B27),0,IF(Config!$B$2="low", VLOOKUP(B27,Prices!$A:$C,3,FALSE), VLOOKUP(B27,Prices!$A:$C,2,FALSE))*F27)</f>
        <v>1095</v>
      </c>
      <c r="K27" s="45">
        <f>IF(ISBLANK(C27),0,IF(Config!$B$2="low", IF(C27="Crystal dust", VLOOKUP("Enhanced crystal teleport seed",Prices!$A:$C,3,FALSE)/1500, VLOOKUP(C27,Prices!$A:$C,3,FALSE)), IF(C27="Crystal dust", VLOOKUP("Enhanced crystal teleport seed",Prices!$A:$C,2,FALSE)/1500, VLOOKUP(C27,Prices!$A:$C,2,FALSE)))*G27)</f>
        <v>150</v>
      </c>
      <c r="L27" s="42">
        <f>IF(ISBLANK(D27),0,IF(Config!$B$2="low", IF(D27="Crystal dust", VLOOKUP("Enhanced crystal teleport seed",Prices!$A:$C,3,FALSE)/1500, VLOOKUP(D27,Prices!$A:$C,3,FALSE)), IF(D27="Crystal dust", VLOOKUP("Enhanced crystal teleport seed",Prices!$A:$C,2,FALSE)/1500, VLOOKUP(D27,Prices!$A:$C,2,FALSE)))*H27)</f>
        <v>0</v>
      </c>
      <c r="M27" s="43">
        <f>IF(ISBLANK(E27),0,IF(Config!$B$2="low", IF(E27="Crystal dust", VLOOKUP("Enhanced crystal teleport seed",Prices!$A:$C,3,FALSE)/1500, VLOOKUP(E27,Prices!$A:$C,3,FALSE)), IF(E27="Crystal dust", VLOOKUP("Enhanced crystal teleport seed",Prices!$A:$C,2,FALSE)/1500, VLOOKUP(E27,Prices!$A:$C,2,FALSE)))*I27)</f>
        <v>0</v>
      </c>
      <c r="N27" s="41">
        <f>IF(OR(C27="Ashes",C27="Crystal dust"),K27,K27*0.9)</f>
        <v>135</v>
      </c>
      <c r="O27" s="42">
        <f>IF(OR(D27="Ashes",D27="Crystal dust"),L27,L27*0.9)</f>
        <v>0</v>
      </c>
      <c r="P27" s="43">
        <f>IF(OR(E27="Ashes",E27="Crystal dust"),M27,M27*0.9)</f>
        <v>0</v>
      </c>
      <c r="Q27" s="10">
        <f>IFERROR(VLOOKUP("Amulet of chemistry",Prices!$A:$C,2,FALSE),"")</f>
        <v>1300</v>
      </c>
      <c r="R27" s="9">
        <f>IF(Config!$B$8,Q27/10,Q27/5)</f>
        <v>130</v>
      </c>
      <c r="S27" s="9">
        <f>IF(Config!$B$8,R27*0.15,R27*0.05)</f>
        <v>19.5</v>
      </c>
      <c r="T27" s="9">
        <f>J27+IF(Config!$B$6,SUM(N27,P27),SUM(K27:M27))+IF(Config!$B$7,S27,0)</f>
        <v>1249.5</v>
      </c>
      <c r="U27" s="10">
        <f>IF(Config!$B$3="low",IF($AC27,VLOOKUP($A27,Prices!$A:$C,3,FALSE),VLOOKUP($A27&amp;"(3)",Prices!$A:$C,3,FALSE)),IF($AC27,VLOOKUP($A27,Prices!$A:$C,2,FALSE),VLOOKUP($A27&amp;"(3)",Prices!$A:$C,2,FALSE)))</f>
        <v>553</v>
      </c>
      <c r="V27" s="10">
        <f>IF(Config!$B$9,W27*3/4,U27)</f>
        <v>585.75</v>
      </c>
      <c r="W27" s="10">
        <f>IF(Config!$B$3="low",IF($AC27,VLOOKUP($A27,Prices!$A:$C,3,FALSE),VLOOKUP($A27&amp;"(4)",Prices!$A:$C,3,FALSE)),IF($AC27,VLOOKUP($A27,Prices!$A:$C,2,FALSE),VLOOKUP($A27&amp;"(4)",Prices!$A:$C,2,FALSE)))</f>
        <v>781</v>
      </c>
      <c r="X27" s="10">
        <f>IF(Config!$B$7,IF(Config!$B$8,V27*0.85+W27*0.15,V27*0.95+W27*0.05),V27)</f>
        <v>615.03750000000002</v>
      </c>
      <c r="Y27" s="10">
        <f>_xlfn.CEILING.MATH(X27*0.98)</f>
        <v>603</v>
      </c>
      <c r="Z27" s="11">
        <f>Y27-T27</f>
        <v>-646.5</v>
      </c>
      <c r="AA27">
        <v>82.5</v>
      </c>
      <c r="AB27" s="11">
        <f>Z27/AA27</f>
        <v>-7.836363636363636</v>
      </c>
      <c r="AC27" s="12" t="b">
        <v>0</v>
      </c>
      <c r="AD27" s="10">
        <f>IF(AC27,VLOOKUP(A27,Prices!A:D,4,0),VLOOKUP(A27&amp;"(3)",Prices!A:D,4,0)*0.85+VLOOKUP(A27&amp;"(4)",Prices!A:D,4,0)*0.15)</f>
        <v>596.65</v>
      </c>
      <c r="AE27" s="33">
        <v>84</v>
      </c>
    </row>
    <row r="28" spans="1:31" x14ac:dyDescent="0.35">
      <c r="A28" s="22" t="s">
        <v>137</v>
      </c>
      <c r="B28" s="8" t="s">
        <v>138</v>
      </c>
      <c r="C28" s="5" t="s">
        <v>139</v>
      </c>
      <c r="D28" s="6"/>
      <c r="E28" s="7"/>
      <c r="F28" s="31">
        <v>1</v>
      </c>
      <c r="G28" s="5">
        <v>1</v>
      </c>
      <c r="H28" s="6">
        <v>0</v>
      </c>
      <c r="I28" s="36">
        <v>0</v>
      </c>
      <c r="J28" s="44">
        <f>IF(ISBLANK(B28),0,IF(Config!$B$2="low", VLOOKUP(B28,Prices!$A:$C,3,FALSE), VLOOKUP(B28,Prices!$A:$C,2,FALSE))*F28)</f>
        <v>2378</v>
      </c>
      <c r="K28" s="45">
        <f>IF(ISBLANK(C28),0,IF(Config!$B$2="low", IF(C28="Crystal dust", VLOOKUP("Enhanced crystal teleport seed",Prices!$A:$C,3,FALSE)/1500, VLOOKUP(C28,Prices!$A:$C,3,FALSE)), IF(C28="Crystal dust", VLOOKUP("Enhanced crystal teleport seed",Prices!$A:$C,2,FALSE)/1500, VLOOKUP(C28,Prices!$A:$C,2,FALSE)))*G28)</f>
        <v>79</v>
      </c>
      <c r="L28" s="42">
        <f>IF(ISBLANK(D28),0,IF(Config!$B$2="low", IF(D28="Crystal dust", VLOOKUP("Enhanced crystal teleport seed",Prices!$A:$C,3,FALSE)/1500, VLOOKUP(D28,Prices!$A:$C,3,FALSE)), IF(D28="Crystal dust", VLOOKUP("Enhanced crystal teleport seed",Prices!$A:$C,2,FALSE)/1500, VLOOKUP(D28,Prices!$A:$C,2,FALSE)))*H28)</f>
        <v>0</v>
      </c>
      <c r="M28" s="43">
        <f>IF(ISBLANK(E28),0,IF(Config!$B$2="low", IF(E28="Crystal dust", VLOOKUP("Enhanced crystal teleport seed",Prices!$A:$C,3,FALSE)/1500, VLOOKUP(E28,Prices!$A:$C,3,FALSE)), IF(E28="Crystal dust", VLOOKUP("Enhanced crystal teleport seed",Prices!$A:$C,2,FALSE)/1500, VLOOKUP(E28,Prices!$A:$C,2,FALSE)))*I28)</f>
        <v>0</v>
      </c>
      <c r="N28" s="41">
        <f>IF(OR(C28="Ashes",C28="Crystal dust"),K28,K28*0.9)</f>
        <v>71.100000000000009</v>
      </c>
      <c r="O28" s="42">
        <f>IF(OR(D28="Ashes",D28="Crystal dust"),L28,L28*0.9)</f>
        <v>0</v>
      </c>
      <c r="P28" s="43">
        <f>IF(OR(E28="Ashes",E28="Crystal dust"),M28,M28*0.9)</f>
        <v>0</v>
      </c>
      <c r="Q28" s="10">
        <f>IFERROR(VLOOKUP("Amulet of chemistry",Prices!$A:$C,2,FALSE),"")</f>
        <v>1300</v>
      </c>
      <c r="R28" s="9">
        <f>IF(Config!$B$8,Q28/10,Q28/5)</f>
        <v>130</v>
      </c>
      <c r="S28" s="9">
        <f>IF(Config!$B$8,R28*0.15,R28*0.05)</f>
        <v>19.5</v>
      </c>
      <c r="T28" s="9">
        <f>J28+IF(Config!$B$6,SUM(N28,P28),SUM(K28:M28))+IF(Config!$B$7,S28,0)</f>
        <v>2468.6</v>
      </c>
      <c r="U28" s="10">
        <f>IF(Config!$B$3="low",IF($AC28,VLOOKUP($A28,Prices!$A:$C,3,FALSE),VLOOKUP($A28&amp;"(3)",Prices!$A:$C,3,FALSE)),IF($AC28,VLOOKUP($A28,Prices!$A:$C,2,FALSE),VLOOKUP($A28&amp;"(3)",Prices!$A:$C,2,FALSE)))</f>
        <v>1095</v>
      </c>
      <c r="V28" s="10">
        <f>IF(Config!$B$9,W28*3/4,U28)</f>
        <v>1176.75</v>
      </c>
      <c r="W28" s="10">
        <f>IF(Config!$B$3="low",IF($AC28,VLOOKUP($A28,Prices!$A:$C,3,FALSE),VLOOKUP($A28&amp;"(4)",Prices!$A:$C,3,FALSE)),IF($AC28,VLOOKUP($A28,Prices!$A:$C,2,FALSE),VLOOKUP($A28&amp;"(4)",Prices!$A:$C,2,FALSE)))</f>
        <v>1569</v>
      </c>
      <c r="X28" s="10">
        <f>IF(Config!$B$7,IF(Config!$B$8,V28*0.85+W28*0.15,V28*0.95+W28*0.05),V28)</f>
        <v>1235.5874999999999</v>
      </c>
      <c r="Y28" s="10">
        <f>_xlfn.CEILING.MATH(X28*0.98)</f>
        <v>1211</v>
      </c>
      <c r="Z28" s="11">
        <f>Y28-T28</f>
        <v>-1257.5999999999999</v>
      </c>
      <c r="AA28">
        <v>157.5</v>
      </c>
      <c r="AB28" s="11">
        <f>Z28/AA28</f>
        <v>-7.9847619047619043</v>
      </c>
      <c r="AC28" s="12" t="b">
        <v>0</v>
      </c>
      <c r="AD28" s="10">
        <f>IF(AC28,VLOOKUP(A28,Prices!A:D,4,0),VLOOKUP(A28&amp;"(3)",Prices!A:D,4,0)*0.85+VLOOKUP(A28&amp;"(4)",Prices!A:D,4,0)*0.15)</f>
        <v>2988.9</v>
      </c>
      <c r="AE28" s="33">
        <v>69</v>
      </c>
    </row>
    <row r="29" spans="1:31" x14ac:dyDescent="0.35">
      <c r="A29" s="22" t="s">
        <v>134</v>
      </c>
      <c r="B29" s="8" t="s">
        <v>135</v>
      </c>
      <c r="C29" s="5" t="s">
        <v>66</v>
      </c>
      <c r="D29" s="6"/>
      <c r="E29" s="7"/>
      <c r="F29" s="31">
        <v>1</v>
      </c>
      <c r="G29" s="5">
        <v>1</v>
      </c>
      <c r="H29" s="6">
        <v>0</v>
      </c>
      <c r="I29" s="36">
        <v>0</v>
      </c>
      <c r="J29" s="44">
        <f>IF(ISBLANK(B29),0,IF(Config!$B$2="low", VLOOKUP(B29,Prices!$A:$C,3,FALSE), VLOOKUP(B29,Prices!$A:$C,2,FALSE))*F29)</f>
        <v>2446</v>
      </c>
      <c r="K29" s="45">
        <f>IF(ISBLANK(C29),0,IF(Config!$B$2="low", IF(C29="Crystal dust", VLOOKUP("Enhanced crystal teleport seed",Prices!$A:$C,3,FALSE)/1500, VLOOKUP(C29,Prices!$A:$C,3,FALSE)), IF(C29="Crystal dust", VLOOKUP("Enhanced crystal teleport seed",Prices!$A:$C,2,FALSE)/1500, VLOOKUP(C29,Prices!$A:$C,2,FALSE)))*G29)</f>
        <v>941</v>
      </c>
      <c r="L29" s="42">
        <f>IF(ISBLANK(D29),0,IF(Config!$B$2="low", IF(D29="Crystal dust", VLOOKUP("Enhanced crystal teleport seed",Prices!$A:$C,3,FALSE)/1500, VLOOKUP(D29,Prices!$A:$C,3,FALSE)), IF(D29="Crystal dust", VLOOKUP("Enhanced crystal teleport seed",Prices!$A:$C,2,FALSE)/1500, VLOOKUP(D29,Prices!$A:$C,2,FALSE)))*H29)</f>
        <v>0</v>
      </c>
      <c r="M29" s="43">
        <f>IF(ISBLANK(E29),0,IF(Config!$B$2="low", IF(E29="Crystal dust", VLOOKUP("Enhanced crystal teleport seed",Prices!$A:$C,3,FALSE)/1500, VLOOKUP(E29,Prices!$A:$C,3,FALSE)), IF(E29="Crystal dust", VLOOKUP("Enhanced crystal teleport seed",Prices!$A:$C,2,FALSE)/1500, VLOOKUP(E29,Prices!$A:$C,2,FALSE)))*I29)</f>
        <v>0</v>
      </c>
      <c r="N29" s="41">
        <f>IF(OR(C29="Ashes",C29="Crystal dust"),K29,K29*0.9)</f>
        <v>846.9</v>
      </c>
      <c r="O29" s="42">
        <f>IF(OR(D29="Ashes",D29="Crystal dust"),L29,L29*0.9)</f>
        <v>0</v>
      </c>
      <c r="P29" s="43">
        <f>IF(OR(E29="Ashes",E29="Crystal dust"),M29,M29*0.9)</f>
        <v>0</v>
      </c>
      <c r="Q29" s="10">
        <f>IFERROR(VLOOKUP("Amulet of chemistry",Prices!$A:$C,2,FALSE),"")</f>
        <v>1300</v>
      </c>
      <c r="R29" s="9">
        <f>IF(Config!$B$8,Q29/10,Q29/5)</f>
        <v>130</v>
      </c>
      <c r="S29" s="9">
        <f>IF(Config!$B$8,R29*0.15,R29*0.05)</f>
        <v>19.5</v>
      </c>
      <c r="T29" s="9">
        <f>J29+IF(Config!$B$6,SUM(N29,P29),SUM(K29:M29))+IF(Config!$B$7,S29,0)</f>
        <v>3312.4</v>
      </c>
      <c r="U29" s="10">
        <f>IF(Config!$B$3="low",IF($AC29,VLOOKUP($A29,Prices!$A:$C,3,FALSE),VLOOKUP($A29&amp;"(3)",Prices!$A:$C,3,FALSE)),IF($AC29,VLOOKUP($A29,Prices!$A:$C,2,FALSE),VLOOKUP($A29&amp;"(3)",Prices!$A:$C,2,FALSE)))</f>
        <v>1821</v>
      </c>
      <c r="V29" s="10">
        <f>IF(Config!$B$9,W29*3/4,U29)</f>
        <v>1860</v>
      </c>
      <c r="W29" s="10">
        <f>IF(Config!$B$3="low",IF($AC29,VLOOKUP($A29,Prices!$A:$C,3,FALSE),VLOOKUP($A29&amp;"(4)",Prices!$A:$C,3,FALSE)),IF($AC29,VLOOKUP($A29,Prices!$A:$C,2,FALSE),VLOOKUP($A29&amp;"(4)",Prices!$A:$C,2,FALSE)))</f>
        <v>2480</v>
      </c>
      <c r="X29" s="10">
        <f>IF(Config!$B$7,IF(Config!$B$8,V29*0.85+W29*0.15,V29*0.95+W29*0.05),V29)</f>
        <v>1953</v>
      </c>
      <c r="Y29" s="10">
        <f>_xlfn.CEILING.MATH(X29*0.98)</f>
        <v>1914</v>
      </c>
      <c r="Z29" s="11">
        <f>Y29-T29</f>
        <v>-1398.4</v>
      </c>
      <c r="AA29">
        <v>162.5</v>
      </c>
      <c r="AB29" s="11">
        <f>Z29/AA29</f>
        <v>-8.6055384615384618</v>
      </c>
      <c r="AC29" s="12" t="b">
        <v>0</v>
      </c>
      <c r="AD29" s="10">
        <f>IF(AC29,VLOOKUP(A29,Prices!A:D,4,0),VLOOKUP(A29&amp;"(3)",Prices!A:D,4,0)*0.85+VLOOKUP(A29&amp;"(4)",Prices!A:D,4,0)*0.15)</f>
        <v>4660.45</v>
      </c>
      <c r="AE29" s="33">
        <v>72</v>
      </c>
    </row>
    <row r="30" spans="1:31" x14ac:dyDescent="0.35">
      <c r="A30" s="22" t="s">
        <v>174</v>
      </c>
      <c r="B30" s="8" t="s">
        <v>167</v>
      </c>
      <c r="C30" s="5" t="s">
        <v>106</v>
      </c>
      <c r="D30" s="6"/>
      <c r="E30" s="7"/>
      <c r="F30" s="31">
        <v>1</v>
      </c>
      <c r="G30" s="5">
        <v>1</v>
      </c>
      <c r="H30" s="6">
        <v>0</v>
      </c>
      <c r="I30" s="36">
        <v>0</v>
      </c>
      <c r="J30" s="44">
        <f>IF(ISBLANK(B30),0,IF(Config!$B$2="low", VLOOKUP(B30,Prices!$A:$C,3,FALSE), VLOOKUP(B30,Prices!$A:$C,2,FALSE))*F30)</f>
        <v>226</v>
      </c>
      <c r="K30" s="45">
        <f>IF(ISBLANK(C30),0,IF(Config!$B$2="low", IF(C30="Crystal dust", VLOOKUP("Enhanced crystal teleport seed",Prices!$A:$C,3,FALSE)/1500, VLOOKUP(C30,Prices!$A:$C,3,FALSE)), IF(C30="Crystal dust", VLOOKUP("Enhanced crystal teleport seed",Prices!$A:$C,2,FALSE)/1500, VLOOKUP(C30,Prices!$A:$C,2,FALSE)))*G30)</f>
        <v>292</v>
      </c>
      <c r="L30" s="42">
        <f>IF(ISBLANK(D30),0,IF(Config!$B$2="low", IF(D30="Crystal dust", VLOOKUP("Enhanced crystal teleport seed",Prices!$A:$C,3,FALSE)/1500, VLOOKUP(D30,Prices!$A:$C,3,FALSE)), IF(D30="Crystal dust", VLOOKUP("Enhanced crystal teleport seed",Prices!$A:$C,2,FALSE)/1500, VLOOKUP(D30,Prices!$A:$C,2,FALSE)))*H30)</f>
        <v>0</v>
      </c>
      <c r="M30" s="43">
        <f>IF(ISBLANK(E30),0,IF(Config!$B$2="low", IF(E30="Crystal dust", VLOOKUP("Enhanced crystal teleport seed",Prices!$A:$C,3,FALSE)/1500, VLOOKUP(E30,Prices!$A:$C,3,FALSE)), IF(E30="Crystal dust", VLOOKUP("Enhanced crystal teleport seed",Prices!$A:$C,2,FALSE)/1500, VLOOKUP(E30,Prices!$A:$C,2,FALSE)))*I30)</f>
        <v>0</v>
      </c>
      <c r="N30" s="41">
        <f>IF(OR(C30="Ashes",C30="Crystal dust"),K30,K30*0.9)</f>
        <v>262.8</v>
      </c>
      <c r="O30" s="42">
        <f>IF(OR(D30="Ashes",D30="Crystal dust"),L30,L30*0.9)</f>
        <v>0</v>
      </c>
      <c r="P30" s="43">
        <f>IF(OR(E30="Ashes",E30="Crystal dust"),M30,M30*0.9)</f>
        <v>0</v>
      </c>
      <c r="Q30" s="10">
        <f>IFERROR(VLOOKUP("Amulet of chemistry",Prices!$A:$C,2,FALSE),"")</f>
        <v>1300</v>
      </c>
      <c r="R30" s="9">
        <f>IF(Config!$B$8,Q30/10,Q30/5)</f>
        <v>130</v>
      </c>
      <c r="S30" s="9">
        <f>IF(Config!$B$8,R30*0.15,R30*0.05)</f>
        <v>19.5</v>
      </c>
      <c r="T30" s="9">
        <f>J30+IF(Config!$B$6,SUM(N30,P30),SUM(K30:M30))+IF(Config!$B$7,S30,0)</f>
        <v>508.3</v>
      </c>
      <c r="U30" s="10">
        <f>IF(Config!$B$3="low",IF($AC30,VLOOKUP($A30,Prices!$A:$C,3,FALSE),VLOOKUP($A30&amp;"(3)",Prices!$A:$C,3,FALSE)),IF($AC30,VLOOKUP($A30,Prices!$A:$C,2,FALSE),VLOOKUP($A30&amp;"(3)",Prices!$A:$C,2,FALSE)))</f>
        <v>60</v>
      </c>
      <c r="V30" s="10">
        <f>IF(Config!$B$9,W30*3/4,U30)</f>
        <v>58.5</v>
      </c>
      <c r="W30" s="10">
        <f>IF(Config!$B$3="low",IF($AC30,VLOOKUP($A30,Prices!$A:$C,3,FALSE),VLOOKUP($A30&amp;"(4)",Prices!$A:$C,3,FALSE)),IF($AC30,VLOOKUP($A30,Prices!$A:$C,2,FALSE),VLOOKUP($A30&amp;"(4)",Prices!$A:$C,2,FALSE)))</f>
        <v>78</v>
      </c>
      <c r="X30" s="10">
        <f>IF(Config!$B$7,IF(Config!$B$8,V30*0.85+W30*0.15,V30*0.95+W30*0.05),V30)</f>
        <v>61.424999999999997</v>
      </c>
      <c r="Y30" s="10">
        <f>_xlfn.CEILING.MATH(X30*0.98)</f>
        <v>61</v>
      </c>
      <c r="Z30" s="11">
        <f>Y30-T30</f>
        <v>-447.3</v>
      </c>
      <c r="AA30">
        <v>50</v>
      </c>
      <c r="AB30" s="11">
        <f>Z30/AA30</f>
        <v>-8.9459999999999997</v>
      </c>
      <c r="AC30" s="12" t="b">
        <v>0</v>
      </c>
      <c r="AD30" s="10">
        <f>IF(AC30,VLOOKUP(A30,Prices!A:D,4,0),VLOOKUP(A30&amp;"(3)",Prices!A:D,4,0)*0.85+VLOOKUP(A30&amp;"(4)",Prices!A:D,4,0)*0.15)</f>
        <v>459.54999999999995</v>
      </c>
      <c r="AE30" s="33">
        <v>12</v>
      </c>
    </row>
    <row r="31" spans="1:31" x14ac:dyDescent="0.35">
      <c r="A31" s="22" t="s">
        <v>159</v>
      </c>
      <c r="B31" s="8" t="s">
        <v>77</v>
      </c>
      <c r="C31" s="5" t="s">
        <v>160</v>
      </c>
      <c r="D31" s="6"/>
      <c r="E31" s="7"/>
      <c r="F31" s="31">
        <v>1</v>
      </c>
      <c r="G31" s="5">
        <v>1</v>
      </c>
      <c r="H31" s="6">
        <v>0</v>
      </c>
      <c r="I31" s="36">
        <v>0</v>
      </c>
      <c r="J31" s="44">
        <f>IF(ISBLANK(B31),0,IF(Config!$B$2="low", VLOOKUP(B31,Prices!$A:$C,3,FALSE), VLOOKUP(B31,Prices!$A:$C,2,FALSE))*F31)</f>
        <v>632</v>
      </c>
      <c r="K31" s="45">
        <f>IF(ISBLANK(C31),0,IF(Config!$B$2="low", IF(C31="Crystal dust", VLOOKUP("Enhanced crystal teleport seed",Prices!$A:$C,3,FALSE)/1500, VLOOKUP(C31,Prices!$A:$C,3,FALSE)), IF(C31="Crystal dust", VLOOKUP("Enhanced crystal teleport seed",Prices!$A:$C,2,FALSE)/1500, VLOOKUP(C31,Prices!$A:$C,2,FALSE)))*G31)</f>
        <v>61</v>
      </c>
      <c r="L31" s="42">
        <f>IF(ISBLANK(D31),0,IF(Config!$B$2="low", IF(D31="Crystal dust", VLOOKUP("Enhanced crystal teleport seed",Prices!$A:$C,3,FALSE)/1500, VLOOKUP(D31,Prices!$A:$C,3,FALSE)), IF(D31="Crystal dust", VLOOKUP("Enhanced crystal teleport seed",Prices!$A:$C,2,FALSE)/1500, VLOOKUP(D31,Prices!$A:$C,2,FALSE)))*H31)</f>
        <v>0</v>
      </c>
      <c r="M31" s="43">
        <f>IF(ISBLANK(E31),0,IF(Config!$B$2="low", IF(E31="Crystal dust", VLOOKUP("Enhanced crystal teleport seed",Prices!$A:$C,3,FALSE)/1500, VLOOKUP(E31,Prices!$A:$C,3,FALSE)), IF(E31="Crystal dust", VLOOKUP("Enhanced crystal teleport seed",Prices!$A:$C,2,FALSE)/1500, VLOOKUP(E31,Prices!$A:$C,2,FALSE)))*I31)</f>
        <v>0</v>
      </c>
      <c r="N31" s="41">
        <f>IF(OR(C31="Ashes",C31="Crystal dust"),K31,K31*0.9)</f>
        <v>54.9</v>
      </c>
      <c r="O31" s="42">
        <f>IF(OR(D31="Ashes",D31="Crystal dust"),L31,L31*0.9)</f>
        <v>0</v>
      </c>
      <c r="P31" s="43">
        <f>IF(OR(E31="Ashes",E31="Crystal dust"),M31,M31*0.9)</f>
        <v>0</v>
      </c>
      <c r="Q31" s="10">
        <f>IFERROR(VLOOKUP("Amulet of chemistry",Prices!$A:$C,2,FALSE),"")</f>
        <v>1300</v>
      </c>
      <c r="R31" s="9">
        <f>IF(Config!$B$8,Q31/10,Q31/5)</f>
        <v>130</v>
      </c>
      <c r="S31" s="9">
        <f>IF(Config!$B$8,R31*0.15,R31*0.05)</f>
        <v>19.5</v>
      </c>
      <c r="T31" s="9">
        <f>J31+IF(Config!$B$6,SUM(N31,P31),SUM(K31:M31))+IF(Config!$B$7,S31,0)</f>
        <v>706.4</v>
      </c>
      <c r="U31" s="10">
        <f>IF(Config!$B$3="low",IF($AC31,VLOOKUP($A31,Prices!$A:$C,3,FALSE),VLOOKUP($A31&amp;"(3)",Prices!$A:$C,3,FALSE)),IF($AC31,VLOOKUP($A31,Prices!$A:$C,2,FALSE),VLOOKUP($A31&amp;"(3)",Prices!$A:$C,2,FALSE)))</f>
        <v>90</v>
      </c>
      <c r="V31" s="10">
        <f>IF(Config!$B$9,W31*3/4,U31)</f>
        <v>96.75</v>
      </c>
      <c r="W31" s="10">
        <f>IF(Config!$B$3="low",IF($AC31,VLOOKUP($A31,Prices!$A:$C,3,FALSE),VLOOKUP($A31&amp;"(4)",Prices!$A:$C,3,FALSE)),IF($AC31,VLOOKUP($A31,Prices!$A:$C,2,FALSE),VLOOKUP($A31&amp;"(4)",Prices!$A:$C,2,FALSE)))</f>
        <v>129</v>
      </c>
      <c r="X31" s="10">
        <f>IF(Config!$B$7,IF(Config!$B$8,V31*0.85+W31*0.15,V31*0.95+W31*0.05),V31)</f>
        <v>101.58749999999999</v>
      </c>
      <c r="Y31" s="10">
        <f>_xlfn.CEILING.MATH(X31*0.98)</f>
        <v>100</v>
      </c>
      <c r="Z31" s="11">
        <f>Y31-T31</f>
        <v>-606.4</v>
      </c>
      <c r="AA31">
        <v>67.5</v>
      </c>
      <c r="AB31" s="11">
        <f>Z31/AA31</f>
        <v>-8.9837037037037035</v>
      </c>
      <c r="AC31" s="12" t="b">
        <v>0</v>
      </c>
      <c r="AD31" s="10">
        <f>IF(AC31,VLOOKUP(A31,Prices!A:D,4,0),VLOOKUP(A31&amp;"(3)",Prices!A:D,4,0)*0.85+VLOOKUP(A31&amp;"(4)",Prices!A:D,4,0)*0.15)</f>
        <v>1538.4499999999998</v>
      </c>
      <c r="AE31" s="33">
        <v>26</v>
      </c>
    </row>
    <row r="32" spans="1:31" x14ac:dyDescent="0.35">
      <c r="A32" s="22" t="s">
        <v>179</v>
      </c>
      <c r="B32" s="8" t="s">
        <v>131</v>
      </c>
      <c r="C32" s="5" t="s">
        <v>180</v>
      </c>
      <c r="D32" s="6" t="s">
        <v>83</v>
      </c>
      <c r="E32" s="7"/>
      <c r="F32" s="31">
        <v>1</v>
      </c>
      <c r="G32" s="5">
        <v>1</v>
      </c>
      <c r="H32" s="6">
        <v>1</v>
      </c>
      <c r="I32" s="36">
        <v>0</v>
      </c>
      <c r="J32" s="44">
        <f>IF(ISBLANK(B32),0,IF(Config!$B$2="low", VLOOKUP(B32,Prices!$A:$C,3,FALSE), VLOOKUP(B32,Prices!$A:$C,2,FALSE))*F32)</f>
        <v>247</v>
      </c>
      <c r="K32" s="45">
        <f>IF(ISBLANK(C32),0,IF(Config!$B$2="low", IF(C32="Crystal dust", VLOOKUP("Enhanced crystal teleport seed",Prices!$A:$C,3,FALSE)/1500, VLOOKUP(C32,Prices!$A:$C,3,FALSE)), IF(C32="Crystal dust", VLOOKUP("Enhanced crystal teleport seed",Prices!$A:$C,2,FALSE)/1500, VLOOKUP(C32,Prices!$A:$C,2,FALSE)))*G32)</f>
        <v>2200</v>
      </c>
      <c r="L32" s="42">
        <f>IF(ISBLANK(D32),0,IF(Config!$B$2="low", IF(D32="Crystal dust", VLOOKUP("Enhanced crystal teleport seed",Prices!$A:$C,3,FALSE)/1500, VLOOKUP(D32,Prices!$A:$C,3,FALSE)), IF(D32="Crystal dust", VLOOKUP("Enhanced crystal teleport seed",Prices!$A:$C,2,FALSE)/1500, VLOOKUP(D32,Prices!$A:$C,2,FALSE)))*H32)</f>
        <v>181</v>
      </c>
      <c r="M32" s="43">
        <f>IF(ISBLANK(E32),0,IF(Config!$B$2="low", IF(E32="Crystal dust", VLOOKUP("Enhanced crystal teleport seed",Prices!$A:$C,3,FALSE)/1500, VLOOKUP(E32,Prices!$A:$C,3,FALSE)), IF(E32="Crystal dust", VLOOKUP("Enhanced crystal teleport seed",Prices!$A:$C,2,FALSE)/1500, VLOOKUP(E32,Prices!$A:$C,2,FALSE)))*I32)</f>
        <v>0</v>
      </c>
      <c r="N32" s="41">
        <f>IF(OR(C32="Ashes",C32="Crystal dust"),K32,K32*0.9)</f>
        <v>1980</v>
      </c>
      <c r="O32" s="42">
        <f>IF(OR(D32="Ashes",D32="Crystal dust"),L32,L32*0.9)</f>
        <v>162.9</v>
      </c>
      <c r="P32" s="43">
        <f>IF(OR(E32="Ashes",E32="Crystal dust"),M32,M32*0.9)</f>
        <v>0</v>
      </c>
      <c r="Q32" s="10">
        <f>IFERROR(VLOOKUP("Amulet of chemistry",Prices!$A:$C,2,FALSE),"")</f>
        <v>1300</v>
      </c>
      <c r="R32" s="9">
        <f>IF(Config!$B$8,Q32/10,Q32/5)</f>
        <v>130</v>
      </c>
      <c r="S32" s="9">
        <f>IF(Config!$B$8,R32*0.15,R32*0.05)</f>
        <v>19.5</v>
      </c>
      <c r="T32" s="9">
        <f>J32+IF(Config!$B$6,SUM(N32,P32),SUM(K32:M32))+IF(Config!$B$7,S32,0)</f>
        <v>2246.5</v>
      </c>
      <c r="U32" s="10">
        <f>IF(Config!$B$3="low",IF($AC32,VLOOKUP($A32,Prices!$A:$C,3,FALSE),VLOOKUP($A32&amp;"(3)",Prices!$A:$C,3,FALSE)),IF($AC32,VLOOKUP($A32,Prices!$A:$C,2,FALSE),VLOOKUP($A32&amp;"(3)",Prices!$A:$C,2,FALSE)))</f>
        <v>643</v>
      </c>
      <c r="V32" s="10">
        <f>IF(Config!$B$9,W32*3/4,U32)</f>
        <v>482.25</v>
      </c>
      <c r="W32" s="10">
        <f>IF(Config!$B$3="low",IF($AC32,VLOOKUP($A32,Prices!$A:$C,3,FALSE),VLOOKUP($A32&amp;"(4)",Prices!$A:$C,3,FALSE)),IF($AC32,VLOOKUP($A32,Prices!$A:$C,2,FALSE),VLOOKUP($A32&amp;"(4)",Prices!$A:$C,2,FALSE)))</f>
        <v>643</v>
      </c>
      <c r="X32" s="10">
        <f>IF(Config!$B$7,IF(Config!$B$8,V32*0.85+W32*0.15,V32*0.95+W32*0.05),V32)</f>
        <v>506.36249999999995</v>
      </c>
      <c r="Y32" s="10">
        <f>_xlfn.CEILING.MATH(X32*0.98)</f>
        <v>497</v>
      </c>
      <c r="Z32" s="11">
        <f>Y32-T32</f>
        <v>-1749.5</v>
      </c>
      <c r="AA32">
        <v>190</v>
      </c>
      <c r="AB32" s="11">
        <f>Z32/AA32</f>
        <v>-9.2078947368421051</v>
      </c>
      <c r="AC32" s="12" t="b">
        <v>1</v>
      </c>
      <c r="AD32" s="10">
        <f>IF(AC32,VLOOKUP(A32,Prices!A:D,4,0),VLOOKUP(A32&amp;"(3)",Prices!A:D,4,0)*0.85+VLOOKUP(A32&amp;"(4)",Prices!A:D,4,0)*0.15)</f>
        <v>6</v>
      </c>
      <c r="AE32" s="33">
        <v>73</v>
      </c>
    </row>
    <row r="33" spans="1:31" x14ac:dyDescent="0.35">
      <c r="A33" s="22" t="s">
        <v>176</v>
      </c>
      <c r="B33" s="8" t="s">
        <v>131</v>
      </c>
      <c r="C33" s="5" t="s">
        <v>177</v>
      </c>
      <c r="D33" s="6" t="s">
        <v>178</v>
      </c>
      <c r="E33" s="7"/>
      <c r="F33" s="31">
        <v>1</v>
      </c>
      <c r="G33" s="5">
        <v>1</v>
      </c>
      <c r="H33" s="6">
        <v>1</v>
      </c>
      <c r="I33" s="36">
        <v>0</v>
      </c>
      <c r="J33" s="44">
        <f>IF(ISBLANK(B33),0,IF(Config!$B$2="low", VLOOKUP(B33,Prices!$A:$C,3,FALSE), VLOOKUP(B33,Prices!$A:$C,2,FALSE))*F33)</f>
        <v>247</v>
      </c>
      <c r="K33" s="45">
        <f>IF(ISBLANK(C33),0,IF(Config!$B$2="low", IF(C33="Crystal dust", VLOOKUP("Enhanced crystal teleport seed",Prices!$A:$C,3,FALSE)/1500, VLOOKUP(C33,Prices!$A:$C,3,FALSE)), IF(C33="Crystal dust", VLOOKUP("Enhanced crystal teleport seed",Prices!$A:$C,2,FALSE)/1500, VLOOKUP(C33,Prices!$A:$C,2,FALSE)))*G33)</f>
        <v>2812</v>
      </c>
      <c r="L33" s="42">
        <f>IF(ISBLANK(D33),0,IF(Config!$B$2="low", IF(D33="Crystal dust", VLOOKUP("Enhanced crystal teleport seed",Prices!$A:$C,3,FALSE)/1500, VLOOKUP(D33,Prices!$A:$C,3,FALSE)), IF(D33="Crystal dust", VLOOKUP("Enhanced crystal teleport seed",Prices!$A:$C,2,FALSE)/1500, VLOOKUP(D33,Prices!$A:$C,2,FALSE)))*H33)</f>
        <v>298</v>
      </c>
      <c r="M33" s="43">
        <f>IF(ISBLANK(E33),0,IF(Config!$B$2="low", IF(E33="Crystal dust", VLOOKUP("Enhanced crystal teleport seed",Prices!$A:$C,3,FALSE)/1500, VLOOKUP(E33,Prices!$A:$C,3,FALSE)), IF(E33="Crystal dust", VLOOKUP("Enhanced crystal teleport seed",Prices!$A:$C,2,FALSE)/1500, VLOOKUP(E33,Prices!$A:$C,2,FALSE)))*I33)</f>
        <v>0</v>
      </c>
      <c r="N33" s="41">
        <f>IF(OR(C33="Ashes",C33="Crystal dust"),K33,K33*0.9)</f>
        <v>2530.8000000000002</v>
      </c>
      <c r="O33" s="42">
        <f>IF(OR(D33="Ashes",D33="Crystal dust"),L33,L33*0.9)</f>
        <v>268.2</v>
      </c>
      <c r="P33" s="43">
        <f>IF(OR(E33="Ashes",E33="Crystal dust"),M33,M33*0.9)</f>
        <v>0</v>
      </c>
      <c r="Q33" s="10">
        <f>IFERROR(VLOOKUP("Amulet of chemistry",Prices!$A:$C,2,FALSE),"")</f>
        <v>1300</v>
      </c>
      <c r="R33" s="9">
        <f>IF(Config!$B$8,Q33/10,Q33/5)</f>
        <v>130</v>
      </c>
      <c r="S33" s="9">
        <f>IF(Config!$B$8,R33*0.15,R33*0.05)</f>
        <v>19.5</v>
      </c>
      <c r="T33" s="9">
        <f>J33+IF(Config!$B$6,SUM(N33,P33),SUM(K33:M33))+IF(Config!$B$7,S33,0)</f>
        <v>2797.3</v>
      </c>
      <c r="U33" s="10">
        <f>IF(Config!$B$3="low",IF($AC33,VLOOKUP($A33,Prices!$A:$C,3,FALSE),VLOOKUP($A33&amp;"(3)",Prices!$A:$C,3,FALSE)),IF($AC33,VLOOKUP($A33,Prices!$A:$C,2,FALSE),VLOOKUP($A33&amp;"(3)",Prices!$A:$C,2,FALSE)))</f>
        <v>1689</v>
      </c>
      <c r="V33" s="10">
        <f>IF(Config!$B$9,W33*3/4,U33)</f>
        <v>1266.75</v>
      </c>
      <c r="W33" s="10">
        <f>IF(Config!$B$3="low",IF($AC33,VLOOKUP($A33,Prices!$A:$C,3,FALSE),VLOOKUP($A33&amp;"(4)",Prices!$A:$C,3,FALSE)),IF($AC33,VLOOKUP($A33,Prices!$A:$C,2,FALSE),VLOOKUP($A33&amp;"(4)",Prices!$A:$C,2,FALSE)))</f>
        <v>1689</v>
      </c>
      <c r="X33" s="10">
        <f>IF(Config!$B$7,IF(Config!$B$8,V33*0.85+W33*0.15,V33*0.95+W33*0.05),V33)</f>
        <v>1330.0874999999999</v>
      </c>
      <c r="Y33" s="10">
        <f>_xlfn.CEILING.MATH(X33*0.98)</f>
        <v>1304</v>
      </c>
      <c r="Z33" s="11">
        <f>Y33-T33</f>
        <v>-1493.3000000000002</v>
      </c>
      <c r="AA33">
        <v>155</v>
      </c>
      <c r="AB33" s="11">
        <f>Z33/AA33</f>
        <v>-9.6341935483870973</v>
      </c>
      <c r="AC33" s="12" t="b">
        <v>1</v>
      </c>
      <c r="AD33" s="10">
        <f>IF(AC33,VLOOKUP(A33,Prices!A:D,4,0),VLOOKUP(A33&amp;"(3)",Prices!A:D,4,0)*0.85+VLOOKUP(A33&amp;"(4)",Prices!A:D,4,0)*0.15)</f>
        <v>74</v>
      </c>
      <c r="AE33" s="33">
        <v>68</v>
      </c>
    </row>
    <row r="34" spans="1:31" x14ac:dyDescent="0.35">
      <c r="A34" s="22" t="s">
        <v>96</v>
      </c>
      <c r="B34" s="8" t="s">
        <v>97</v>
      </c>
      <c r="C34" s="5" t="s">
        <v>98</v>
      </c>
      <c r="D34" s="6"/>
      <c r="E34" s="7"/>
      <c r="F34" s="31">
        <v>1</v>
      </c>
      <c r="G34" s="5">
        <v>3</v>
      </c>
      <c r="H34" s="6">
        <v>0</v>
      </c>
      <c r="I34" s="36">
        <v>0</v>
      </c>
      <c r="J34" s="44">
        <f>IF(ISBLANK(B34),0,IF(Config!$B$2="low", VLOOKUP(B34,Prices!$A:$C,3,FALSE), VLOOKUP(B34,Prices!$A:$C,2,FALSE))*F34)</f>
        <v>2364</v>
      </c>
      <c r="K34" s="45">
        <f>IF(ISBLANK(C34),0,IF(Config!$B$2="low", IF(C34="Crystal dust", VLOOKUP("Enhanced crystal teleport seed",Prices!$A:$C,3,FALSE)/1500, VLOOKUP(C34,Prices!$A:$C,3,FALSE)), IF(C34="Crystal dust", VLOOKUP("Enhanced crystal teleport seed",Prices!$A:$C,2,FALSE)/1500, VLOOKUP(C34,Prices!$A:$C,2,FALSE)))*G34)</f>
        <v>2442</v>
      </c>
      <c r="L34" s="42">
        <f>IF(ISBLANK(D34),0,IF(Config!$B$2="low", IF(D34="Crystal dust", VLOOKUP("Enhanced crystal teleport seed",Prices!$A:$C,3,FALSE)/1500, VLOOKUP(D34,Prices!$A:$C,3,FALSE)), IF(D34="Crystal dust", VLOOKUP("Enhanced crystal teleport seed",Prices!$A:$C,2,FALSE)/1500, VLOOKUP(D34,Prices!$A:$C,2,FALSE)))*H34)</f>
        <v>0</v>
      </c>
      <c r="M34" s="43">
        <f>IF(ISBLANK(E34),0,IF(Config!$B$2="low", IF(E34="Crystal dust", VLOOKUP("Enhanced crystal teleport seed",Prices!$A:$C,3,FALSE)/1500, VLOOKUP(E34,Prices!$A:$C,3,FALSE)), IF(E34="Crystal dust", VLOOKUP("Enhanced crystal teleport seed",Prices!$A:$C,2,FALSE)/1500, VLOOKUP(E34,Prices!$A:$C,2,FALSE)))*I34)</f>
        <v>0</v>
      </c>
      <c r="N34" s="41">
        <f>IF(OR(C34="Ashes",C34="Crystal dust"),K34,K34*0.9)</f>
        <v>2197.8000000000002</v>
      </c>
      <c r="O34" s="42">
        <f>IF(OR(D34="Ashes",D34="Crystal dust"),L34,L34*0.9)</f>
        <v>0</v>
      </c>
      <c r="P34" s="43">
        <f>IF(OR(E34="Ashes",E34="Crystal dust"),M34,M34*0.9)</f>
        <v>0</v>
      </c>
      <c r="Q34" s="10">
        <f>IFERROR(VLOOKUP("Amulet of chemistry",Prices!$A:$C,2,FALSE),"")</f>
        <v>1300</v>
      </c>
      <c r="R34" s="9">
        <f>IF(Config!$B$8,Q34/10,Q34/5)</f>
        <v>130</v>
      </c>
      <c r="S34" s="9">
        <f>IF(Config!$B$8,R34*0.15,R34*0.05)</f>
        <v>19.5</v>
      </c>
      <c r="T34" s="9">
        <f>J34+IF(Config!$B$6,SUM(N34,P34),SUM(K34:M34))+IF(Config!$B$7,S34,0)</f>
        <v>4581.3</v>
      </c>
      <c r="U34" s="10">
        <f>IF(Config!$B$3="low",IF($AC34,VLOOKUP($A34,Prices!$A:$C,3,FALSE),VLOOKUP($A34&amp;"(3)",Prices!$A:$C,3,FALSE)),IF($AC34,VLOOKUP($A34,Prices!$A:$C,2,FALSE),VLOOKUP($A34&amp;"(3)",Prices!$A:$C,2,FALSE)))</f>
        <v>4027</v>
      </c>
      <c r="V34" s="10">
        <f>IF(Config!$B$9,W34*3/4,U34)</f>
        <v>3729</v>
      </c>
      <c r="W34" s="10">
        <f>IF(Config!$B$3="low",IF($AC34,VLOOKUP($A34,Prices!$A:$C,3,FALSE),VLOOKUP($A34&amp;"(4)",Prices!$A:$C,3,FALSE)),IF($AC34,VLOOKUP($A34,Prices!$A:$C,2,FALSE),VLOOKUP($A34&amp;"(4)",Prices!$A:$C,2,FALSE)))</f>
        <v>4972</v>
      </c>
      <c r="X34" s="10">
        <f>IF(Config!$B$7,IF(Config!$B$8,V34*0.85+W34*0.15,V34*0.95+W34*0.05),V34)</f>
        <v>3915.45</v>
      </c>
      <c r="Y34" s="10">
        <f>_xlfn.CEILING.MATH(X34*0.98)</f>
        <v>3838</v>
      </c>
      <c r="Z34" s="11">
        <f>Y34-T34</f>
        <v>-743.30000000000018</v>
      </c>
      <c r="AA34">
        <v>76.5</v>
      </c>
      <c r="AB34" s="11">
        <f>Z34/AA34</f>
        <v>-9.7163398692810485</v>
      </c>
      <c r="AC34" s="12" t="b">
        <v>0</v>
      </c>
      <c r="AD34" s="10">
        <f>IF(AC34,VLOOKUP(A34,Prices!A:D,4,0),VLOOKUP(A34&amp;"(3)",Prices!A:D,4,0)*0.85+VLOOKUP(A34&amp;"(4)",Prices!A:D,4,0)*0.15)</f>
        <v>539.15</v>
      </c>
      <c r="AE34" s="33">
        <v>77</v>
      </c>
    </row>
    <row r="35" spans="1:31" x14ac:dyDescent="0.35">
      <c r="A35" s="22" t="s">
        <v>145</v>
      </c>
      <c r="B35" s="8" t="s">
        <v>111</v>
      </c>
      <c r="C35" s="5" t="s">
        <v>55</v>
      </c>
      <c r="D35" s="6"/>
      <c r="E35" s="7"/>
      <c r="F35" s="31">
        <v>1</v>
      </c>
      <c r="G35" s="5">
        <v>4</v>
      </c>
      <c r="H35" s="6">
        <v>0</v>
      </c>
      <c r="I35" s="36">
        <v>0</v>
      </c>
      <c r="J35" s="44">
        <f>IF(ISBLANK(B35),0,IF(Config!$B$2="low", VLOOKUP(B35,Prices!$A:$C,3,FALSE), VLOOKUP(B35,Prices!$A:$C,2,FALSE))*F35)</f>
        <v>1569</v>
      </c>
      <c r="K35" s="45">
        <f>IF(ISBLANK(C35),0,IF(Config!$B$2="low", IF(C35="Crystal dust", VLOOKUP("Enhanced crystal teleport seed",Prices!$A:$C,3,FALSE)/1500, VLOOKUP(C35,Prices!$A:$C,3,FALSE)), IF(C35="Crystal dust", VLOOKUP("Enhanced crystal teleport seed",Prices!$A:$C,2,FALSE)/1500, VLOOKUP(C35,Prices!$A:$C,2,FALSE)))*G35)</f>
        <v>200</v>
      </c>
      <c r="L35" s="42">
        <f>IF(ISBLANK(D35),0,IF(Config!$B$2="low", IF(D35="Crystal dust", VLOOKUP("Enhanced crystal teleport seed",Prices!$A:$C,3,FALSE)/1500, VLOOKUP(D35,Prices!$A:$C,3,FALSE)), IF(D35="Crystal dust", VLOOKUP("Enhanced crystal teleport seed",Prices!$A:$C,2,FALSE)/1500, VLOOKUP(D35,Prices!$A:$C,2,FALSE)))*H35)</f>
        <v>0</v>
      </c>
      <c r="M35" s="43">
        <f>IF(ISBLANK(E35),0,IF(Config!$B$2="low", IF(E35="Crystal dust", VLOOKUP("Enhanced crystal teleport seed",Prices!$A:$C,3,FALSE)/1500, VLOOKUP(E35,Prices!$A:$C,3,FALSE)), IF(E35="Crystal dust", VLOOKUP("Enhanced crystal teleport seed",Prices!$A:$C,2,FALSE)/1500, VLOOKUP(E35,Prices!$A:$C,2,FALSE)))*I35)</f>
        <v>0</v>
      </c>
      <c r="N35" s="41">
        <f>IF(OR(C35="Ashes",C35="Crystal dust"),K35,K35*0.9)</f>
        <v>180</v>
      </c>
      <c r="O35" s="42">
        <f>IF(OR(D35="Ashes",D35="Crystal dust"),L35,L35*0.9)</f>
        <v>0</v>
      </c>
      <c r="P35" s="43">
        <f>IF(OR(E35="Ashes",E35="Crystal dust"),M35,M35*0.9)</f>
        <v>0</v>
      </c>
      <c r="Q35" s="10">
        <f>IFERROR(VLOOKUP("Amulet of chemistry",Prices!$A:$C,2,FALSE),"")</f>
        <v>1300</v>
      </c>
      <c r="R35" s="9">
        <f>IF(Config!$B$8,Q35/10,Q35/5)</f>
        <v>130</v>
      </c>
      <c r="S35" s="9">
        <f>IF(Config!$B$8,R35*0.15,R35*0.05)</f>
        <v>19.5</v>
      </c>
      <c r="T35" s="9">
        <f>J35+IF(Config!$B$6,SUM(N35,P35),SUM(K35:M35))+IF(Config!$B$7,S35,0)</f>
        <v>1768.5</v>
      </c>
      <c r="U35" s="10">
        <f>IF(Config!$B$3="low",IF($AC35,VLOOKUP($A35,Prices!$A:$C,3,FALSE),VLOOKUP($A35&amp;"(3)",Prices!$A:$C,3,FALSE)),IF($AC35,VLOOKUP($A35,Prices!$A:$C,2,FALSE),VLOOKUP($A35&amp;"(3)",Prices!$A:$C,2,FALSE)))</f>
        <v>781</v>
      </c>
      <c r="V35" s="10">
        <f>IF(Config!$B$9,W35*3/4,U35)</f>
        <v>585.75</v>
      </c>
      <c r="W35" s="10">
        <f>IF(Config!$B$3="low",IF($AC35,VLOOKUP($A35,Prices!$A:$C,3,FALSE),VLOOKUP($A35&amp;"(4)",Prices!$A:$C,3,FALSE)),IF($AC35,VLOOKUP($A35,Prices!$A:$C,2,FALSE),VLOOKUP($A35&amp;"(4)",Prices!$A:$C,2,FALSE)))</f>
        <v>781</v>
      </c>
      <c r="X35" s="10">
        <f>IF(Config!$B$7,IF(Config!$B$8,V35*0.85+W35*0.15,V35*0.95+W35*0.05),V35)</f>
        <v>615.03750000000002</v>
      </c>
      <c r="Y35" s="10">
        <f>_xlfn.CEILING.MATH(X35*0.98)</f>
        <v>603</v>
      </c>
      <c r="Z35" s="11">
        <f>Y35-T35</f>
        <v>-1165.5</v>
      </c>
      <c r="AA35">
        <v>110</v>
      </c>
      <c r="AB35" s="11">
        <f>Z35/AA35</f>
        <v>-10.595454545454546</v>
      </c>
      <c r="AC35" s="12" t="b">
        <v>1</v>
      </c>
      <c r="AD35" s="10">
        <f>IF(AC35,VLOOKUP(A35,Prices!A:D,4,0),VLOOKUP(A35&amp;"(3)",Prices!A:D,4,0)*0.85+VLOOKUP(A35&amp;"(4)",Prices!A:D,4,0)*0.15)</f>
        <v>3972</v>
      </c>
      <c r="AE35" s="33">
        <v>84</v>
      </c>
    </row>
    <row r="36" spans="1:31" x14ac:dyDescent="0.35">
      <c r="A36" s="22" t="s">
        <v>169</v>
      </c>
      <c r="B36" s="8" t="s">
        <v>77</v>
      </c>
      <c r="C36" s="5" t="s">
        <v>83</v>
      </c>
      <c r="D36" s="6"/>
      <c r="E36" s="7"/>
      <c r="F36" s="31">
        <v>1</v>
      </c>
      <c r="G36" s="5">
        <v>1</v>
      </c>
      <c r="H36" s="6">
        <v>0</v>
      </c>
      <c r="I36" s="36">
        <v>0</v>
      </c>
      <c r="J36" s="44">
        <f>IF(ISBLANK(B36),0,IF(Config!$B$2="low", VLOOKUP(B36,Prices!$A:$C,3,FALSE), VLOOKUP(B36,Prices!$A:$C,2,FALSE))*F36)</f>
        <v>632</v>
      </c>
      <c r="K36" s="45">
        <f>IF(ISBLANK(C36),0,IF(Config!$B$2="low", IF(C36="Crystal dust", VLOOKUP("Enhanced crystal teleport seed",Prices!$A:$C,3,FALSE)/1500, VLOOKUP(C36,Prices!$A:$C,3,FALSE)), IF(C36="Crystal dust", VLOOKUP("Enhanced crystal teleport seed",Prices!$A:$C,2,FALSE)/1500, VLOOKUP(C36,Prices!$A:$C,2,FALSE)))*G36)</f>
        <v>181</v>
      </c>
      <c r="L36" s="42">
        <f>IF(ISBLANK(D36),0,IF(Config!$B$2="low", IF(D36="Crystal dust", VLOOKUP("Enhanced crystal teleport seed",Prices!$A:$C,3,FALSE)/1500, VLOOKUP(D36,Prices!$A:$C,3,FALSE)), IF(D36="Crystal dust", VLOOKUP("Enhanced crystal teleport seed",Prices!$A:$C,2,FALSE)/1500, VLOOKUP(D36,Prices!$A:$C,2,FALSE)))*H36)</f>
        <v>0</v>
      </c>
      <c r="M36" s="43">
        <f>IF(ISBLANK(E36),0,IF(Config!$B$2="low", IF(E36="Crystal dust", VLOOKUP("Enhanced crystal teleport seed",Prices!$A:$C,3,FALSE)/1500, VLOOKUP(E36,Prices!$A:$C,3,FALSE)), IF(E36="Crystal dust", VLOOKUP("Enhanced crystal teleport seed",Prices!$A:$C,2,FALSE)/1500, VLOOKUP(E36,Prices!$A:$C,2,FALSE)))*I36)</f>
        <v>0</v>
      </c>
      <c r="N36" s="41">
        <f>IF(OR(C36="Ashes",C36="Crystal dust"),K36,K36*0.9)</f>
        <v>162.9</v>
      </c>
      <c r="O36" s="42">
        <f>IF(OR(D36="Ashes",D36="Crystal dust"),L36,L36*0.9)</f>
        <v>0</v>
      </c>
      <c r="P36" s="43">
        <f>IF(OR(E36="Ashes",E36="Crystal dust"),M36,M36*0.9)</f>
        <v>0</v>
      </c>
      <c r="Q36" s="10">
        <f>IFERROR(VLOOKUP("Amulet of chemistry",Prices!$A:$C,2,FALSE),"")</f>
        <v>1300</v>
      </c>
      <c r="R36" s="9">
        <f>IF(Config!$B$8,Q36/10,Q36/5)</f>
        <v>130</v>
      </c>
      <c r="S36" s="9">
        <f>IF(Config!$B$8,R36*0.15,R36*0.05)</f>
        <v>19.5</v>
      </c>
      <c r="T36" s="9">
        <f>J36+IF(Config!$B$6,SUM(N36,P36),SUM(K36:M36))+IF(Config!$B$7,S36,0)</f>
        <v>814.4</v>
      </c>
      <c r="U36" s="10">
        <f>IF(Config!$B$3="low",IF($AC36,VLOOKUP($A36,Prices!$A:$C,3,FALSE),VLOOKUP($A36&amp;"(3)",Prices!$A:$C,3,FALSE)),IF($AC36,VLOOKUP($A36,Prices!$A:$C,2,FALSE),VLOOKUP($A36&amp;"(3)",Prices!$A:$C,2,FALSE)))</f>
        <v>49</v>
      </c>
      <c r="V36" s="10">
        <f>IF(Config!$B$9,W36*3/4,U36)</f>
        <v>69.75</v>
      </c>
      <c r="W36" s="10">
        <f>IF(Config!$B$3="low",IF($AC36,VLOOKUP($A36,Prices!$A:$C,3,FALSE),VLOOKUP($A36&amp;"(4)",Prices!$A:$C,3,FALSE)),IF($AC36,VLOOKUP($A36,Prices!$A:$C,2,FALSE),VLOOKUP($A36&amp;"(4)",Prices!$A:$C,2,FALSE)))</f>
        <v>93</v>
      </c>
      <c r="X36" s="10">
        <f>IF(Config!$B$7,IF(Config!$B$8,V36*0.85+W36*0.15,V36*0.95+W36*0.05),V36)</f>
        <v>73.237499999999997</v>
      </c>
      <c r="Y36" s="10">
        <f>_xlfn.CEILING.MATH(X36*0.98)</f>
        <v>72</v>
      </c>
      <c r="Z36" s="11">
        <f>Y36-T36</f>
        <v>-742.4</v>
      </c>
      <c r="AA36">
        <v>62.5</v>
      </c>
      <c r="AB36" s="11">
        <f>Z36/AA36</f>
        <v>-11.878399999999999</v>
      </c>
      <c r="AC36" s="12" t="b">
        <v>0</v>
      </c>
      <c r="AD36" s="10">
        <f>IF(AC36,VLOOKUP(A36,Prices!A:D,4,0),VLOOKUP(A36&amp;"(3)",Prices!A:D,4,0)*0.85+VLOOKUP(A36&amp;"(4)",Prices!A:D,4,0)*0.15)</f>
        <v>55.3</v>
      </c>
      <c r="AE36" s="33">
        <v>22</v>
      </c>
    </row>
    <row r="37" spans="1:31" x14ac:dyDescent="0.35">
      <c r="A37" s="22" t="s">
        <v>170</v>
      </c>
      <c r="B37" s="8" t="s">
        <v>77</v>
      </c>
      <c r="C37" s="5" t="s">
        <v>171</v>
      </c>
      <c r="D37" s="6"/>
      <c r="E37" s="7"/>
      <c r="F37" s="31">
        <v>1</v>
      </c>
      <c r="G37" s="5">
        <v>1</v>
      </c>
      <c r="H37" s="6">
        <v>0</v>
      </c>
      <c r="I37" s="36">
        <v>0</v>
      </c>
      <c r="J37" s="44">
        <f>IF(ISBLANK(B37),0,IF(Config!$B$2="low", VLOOKUP(B37,Prices!$A:$C,3,FALSE), VLOOKUP(B37,Prices!$A:$C,2,FALSE))*F37)</f>
        <v>632</v>
      </c>
      <c r="K37" s="45">
        <f>IF(ISBLANK(C37),0,IF(Config!$B$2="low", IF(C37="Crystal dust", VLOOKUP("Enhanced crystal teleport seed",Prices!$A:$C,3,FALSE)/1500, VLOOKUP(C37,Prices!$A:$C,3,FALSE)), IF(C37="Crystal dust", VLOOKUP("Enhanced crystal teleport seed",Prices!$A:$C,2,FALSE)/1500, VLOOKUP(C37,Prices!$A:$C,2,FALSE)))*G37)</f>
        <v>85</v>
      </c>
      <c r="L37" s="42">
        <f>IF(ISBLANK(D37),0,IF(Config!$B$2="low", IF(D37="Crystal dust", VLOOKUP("Enhanced crystal teleport seed",Prices!$A:$C,3,FALSE)/1500, VLOOKUP(D37,Prices!$A:$C,3,FALSE)), IF(D37="Crystal dust", VLOOKUP("Enhanced crystal teleport seed",Prices!$A:$C,2,FALSE)/1500, VLOOKUP(D37,Prices!$A:$C,2,FALSE)))*H37)</f>
        <v>0</v>
      </c>
      <c r="M37" s="43">
        <f>IF(ISBLANK(E37),0,IF(Config!$B$2="low", IF(E37="Crystal dust", VLOOKUP("Enhanced crystal teleport seed",Prices!$A:$C,3,FALSE)/1500, VLOOKUP(E37,Prices!$A:$C,3,FALSE)), IF(E37="Crystal dust", VLOOKUP("Enhanced crystal teleport seed",Prices!$A:$C,2,FALSE)/1500, VLOOKUP(E37,Prices!$A:$C,2,FALSE)))*I37)</f>
        <v>0</v>
      </c>
      <c r="N37" s="41">
        <f>IF(OR(C37="Ashes",C37="Crystal dust"),K37,K37*0.9)</f>
        <v>76.5</v>
      </c>
      <c r="O37" s="42">
        <f>IF(OR(D37="Ashes",D37="Crystal dust"),L37,L37*0.9)</f>
        <v>0</v>
      </c>
      <c r="P37" s="43">
        <f>IF(OR(E37="Ashes",E37="Crystal dust"),M37,M37*0.9)</f>
        <v>0</v>
      </c>
      <c r="Q37" s="10">
        <f>IFERROR(VLOOKUP("Amulet of chemistry",Prices!$A:$C,2,FALSE),"")</f>
        <v>1300</v>
      </c>
      <c r="R37" s="9">
        <f>IF(Config!$B$8,Q37/10,Q37/5)</f>
        <v>130</v>
      </c>
      <c r="S37" s="9">
        <f>IF(Config!$B$8,R37*0.15,R37*0.05)</f>
        <v>19.5</v>
      </c>
      <c r="T37" s="9">
        <f>J37+IF(Config!$B$6,SUM(N37,P37),SUM(K37:M37))+IF(Config!$B$7,S37,0)</f>
        <v>728</v>
      </c>
      <c r="U37" s="10">
        <f>IF(Config!$B$3="low",IF($AC37,VLOOKUP($A37,Prices!$A:$C,3,FALSE),VLOOKUP($A37&amp;"(3)",Prices!$A:$C,3,FALSE)),IF($AC37,VLOOKUP($A37,Prices!$A:$C,2,FALSE),VLOOKUP($A37&amp;"(3)",Prices!$A:$C,2,FALSE)))</f>
        <v>1</v>
      </c>
      <c r="V37" s="10">
        <f>IF(Config!$B$9,W37*3/4,U37)</f>
        <v>0.75</v>
      </c>
      <c r="W37" s="10">
        <f>IF(Config!$B$3="low",IF($AC37,VLOOKUP($A37,Prices!$A:$C,3,FALSE),VLOOKUP($A37&amp;"(4)",Prices!$A:$C,3,FALSE)),IF($AC37,VLOOKUP($A37,Prices!$A:$C,2,FALSE),VLOOKUP($A37&amp;"(4)",Prices!$A:$C,2,FALSE)))</f>
        <v>1</v>
      </c>
      <c r="X37" s="10">
        <f>IF(Config!$B$7,IF(Config!$B$8,V37*0.85+W37*0.15,V37*0.95+W37*0.05),V37)</f>
        <v>0.78749999999999998</v>
      </c>
      <c r="Y37" s="10">
        <f>_xlfn.CEILING.MATH(X37*0.98)</f>
        <v>1</v>
      </c>
      <c r="Z37" s="11">
        <f>Y37-T37</f>
        <v>-727</v>
      </c>
      <c r="AA37">
        <v>60</v>
      </c>
      <c r="AB37" s="11">
        <f>Z37/AA37</f>
        <v>-12.116666666666667</v>
      </c>
      <c r="AC37" s="12" t="b">
        <v>0</v>
      </c>
      <c r="AD37" s="10">
        <f>IF(AC37,VLOOKUP(A37,Prices!A:D,4,0),VLOOKUP(A37&amp;"(3)",Prices!A:D,4,0)*0.85+VLOOKUP(A37&amp;"(4)",Prices!A:D,4,0)*0.15)</f>
        <v>135</v>
      </c>
      <c r="AE37" s="33">
        <v>22</v>
      </c>
    </row>
    <row r="38" spans="1:31" x14ac:dyDescent="0.35">
      <c r="A38" s="22" t="s">
        <v>149</v>
      </c>
      <c r="B38" s="8" t="s">
        <v>135</v>
      </c>
      <c r="C38" s="5" t="s">
        <v>150</v>
      </c>
      <c r="D38" s="6"/>
      <c r="E38" s="7"/>
      <c r="F38" s="31">
        <v>1</v>
      </c>
      <c r="G38" s="5">
        <v>1</v>
      </c>
      <c r="H38" s="6">
        <v>0</v>
      </c>
      <c r="I38" s="36">
        <v>0</v>
      </c>
      <c r="J38" s="44">
        <f>IF(ISBLANK(B38),0,IF(Config!$B$2="low", VLOOKUP(B38,Prices!$A:$C,3,FALSE), VLOOKUP(B38,Prices!$A:$C,2,FALSE))*F38)</f>
        <v>2446</v>
      </c>
      <c r="K38" s="45">
        <f>IF(ISBLANK(C38),0,IF(Config!$B$2="low", IF(C38="Crystal dust", VLOOKUP("Enhanced crystal teleport seed",Prices!$A:$C,3,FALSE)/1500, VLOOKUP(C38,Prices!$A:$C,3,FALSE)), IF(C38="Crystal dust", VLOOKUP("Enhanced crystal teleport seed",Prices!$A:$C,2,FALSE)/1500, VLOOKUP(C38,Prices!$A:$C,2,FALSE)))*G38)</f>
        <v>1703</v>
      </c>
      <c r="L38" s="42">
        <f>IF(ISBLANK(D38),0,IF(Config!$B$2="low", IF(D38="Crystal dust", VLOOKUP("Enhanced crystal teleport seed",Prices!$A:$C,3,FALSE)/1500, VLOOKUP(D38,Prices!$A:$C,3,FALSE)), IF(D38="Crystal dust", VLOOKUP("Enhanced crystal teleport seed",Prices!$A:$C,2,FALSE)/1500, VLOOKUP(D38,Prices!$A:$C,2,FALSE)))*H38)</f>
        <v>0</v>
      </c>
      <c r="M38" s="43">
        <f>IF(ISBLANK(E38),0,IF(Config!$B$2="low", IF(E38="Crystal dust", VLOOKUP("Enhanced crystal teleport seed",Prices!$A:$C,3,FALSE)/1500, VLOOKUP(E38,Prices!$A:$C,3,FALSE)), IF(E38="Crystal dust", VLOOKUP("Enhanced crystal teleport seed",Prices!$A:$C,2,FALSE)/1500, VLOOKUP(E38,Prices!$A:$C,2,FALSE)))*I38)</f>
        <v>0</v>
      </c>
      <c r="N38" s="41">
        <f>IF(OR(C38="Ashes",C38="Crystal dust"),K38,K38*0.9)</f>
        <v>1532.7</v>
      </c>
      <c r="O38" s="42">
        <f>IF(OR(D38="Ashes",D38="Crystal dust"),L38,L38*0.9)</f>
        <v>0</v>
      </c>
      <c r="P38" s="43">
        <f>IF(OR(E38="Ashes",E38="Crystal dust"),M38,M38*0.9)</f>
        <v>0</v>
      </c>
      <c r="Q38" s="10">
        <f>IFERROR(VLOOKUP("Amulet of chemistry",Prices!$A:$C,2,FALSE),"")</f>
        <v>1300</v>
      </c>
      <c r="R38" s="9">
        <f>IF(Config!$B$8,Q38/10,Q38/5)</f>
        <v>130</v>
      </c>
      <c r="S38" s="9">
        <f>IF(Config!$B$8,R38*0.15,R38*0.05)</f>
        <v>19.5</v>
      </c>
      <c r="T38" s="9">
        <f>J38+IF(Config!$B$6,SUM(N38,P38),SUM(K38:M38))+IF(Config!$B$7,S38,0)</f>
        <v>3998.2</v>
      </c>
      <c r="U38" s="10">
        <f>IF(Config!$B$3="low",IF($AC38,VLOOKUP($A38,Prices!$A:$C,3,FALSE),VLOOKUP($A38&amp;"(3)",Prices!$A:$C,3,FALSE)),IF($AC38,VLOOKUP($A38,Prices!$A:$C,2,FALSE),VLOOKUP($A38&amp;"(3)",Prices!$A:$C,2,FALSE)))</f>
        <v>1713</v>
      </c>
      <c r="V38" s="10">
        <f>IF(Config!$B$9,W38*3/4,U38)</f>
        <v>1506.75</v>
      </c>
      <c r="W38" s="10">
        <f>IF(Config!$B$3="low",IF($AC38,VLOOKUP($A38,Prices!$A:$C,3,FALSE),VLOOKUP($A38&amp;"(4)",Prices!$A:$C,3,FALSE)),IF($AC38,VLOOKUP($A38,Prices!$A:$C,2,FALSE),VLOOKUP($A38&amp;"(4)",Prices!$A:$C,2,FALSE)))</f>
        <v>2009</v>
      </c>
      <c r="X38" s="10">
        <f>IF(Config!$B$7,IF(Config!$B$8,V38*0.85+W38*0.15,V38*0.95+W38*0.05),V38)</f>
        <v>1582.0874999999999</v>
      </c>
      <c r="Y38" s="10">
        <f>_xlfn.CEILING.MATH(X38*0.98)</f>
        <v>1551</v>
      </c>
      <c r="Z38" s="11">
        <f>Y38-T38</f>
        <v>-2447.1999999999998</v>
      </c>
      <c r="AA38">
        <v>200</v>
      </c>
      <c r="AB38" s="11">
        <f>Z38/AA38</f>
        <v>-12.235999999999999</v>
      </c>
      <c r="AC38" s="12" t="b">
        <v>0</v>
      </c>
      <c r="AD38" s="10">
        <f>IF(AC38,VLOOKUP(A38,Prices!A:D,4,0),VLOOKUP(A38&amp;"(3)",Prices!A:D,4,0)*0.85+VLOOKUP(A38&amp;"(4)",Prices!A:D,4,0)*0.15)</f>
        <v>253.6</v>
      </c>
      <c r="AE38" s="33">
        <v>88</v>
      </c>
    </row>
    <row r="39" spans="1:31" x14ac:dyDescent="0.35">
      <c r="A39" s="22" t="s">
        <v>91</v>
      </c>
      <c r="B39" s="8" t="s">
        <v>92</v>
      </c>
      <c r="C39" s="5" t="s">
        <v>93</v>
      </c>
      <c r="D39" s="6"/>
      <c r="E39" s="7"/>
      <c r="F39" s="31">
        <v>1</v>
      </c>
      <c r="G39" s="5">
        <v>15</v>
      </c>
      <c r="H39" s="6">
        <v>0</v>
      </c>
      <c r="I39" s="36">
        <v>0</v>
      </c>
      <c r="J39" s="44">
        <f>IF(ISBLANK(B39),0,IF(Config!$B$2="low", VLOOKUP(B39,Prices!$A:$C,3,FALSE), VLOOKUP(B39,Prices!$A:$C,2,FALSE))*F39)</f>
        <v>3441</v>
      </c>
      <c r="K39" s="45">
        <f>IF(ISBLANK(C39),0,IF(Config!$B$2="low", IF(C39="Crystal dust", VLOOKUP("Enhanced crystal teleport seed",Prices!$A:$C,3,FALSE)/1500, VLOOKUP(C39,Prices!$A:$C,3,FALSE)), IF(C39="Crystal dust", VLOOKUP("Enhanced crystal teleport seed",Prices!$A:$C,2,FALSE)/1500, VLOOKUP(C39,Prices!$A:$C,2,FALSE)))*G39)</f>
        <v>2730</v>
      </c>
      <c r="L39" s="42">
        <f>IF(ISBLANK(D39),0,IF(Config!$B$2="low", IF(D39="Crystal dust", VLOOKUP("Enhanced crystal teleport seed",Prices!$A:$C,3,FALSE)/1500, VLOOKUP(D39,Prices!$A:$C,3,FALSE)), IF(D39="Crystal dust", VLOOKUP("Enhanced crystal teleport seed",Prices!$A:$C,2,FALSE)/1500, VLOOKUP(D39,Prices!$A:$C,2,FALSE)))*H39)</f>
        <v>0</v>
      </c>
      <c r="M39" s="43">
        <f>IF(ISBLANK(E39),0,IF(Config!$B$2="low", IF(E39="Crystal dust", VLOOKUP("Enhanced crystal teleport seed",Prices!$A:$C,3,FALSE)/1500, VLOOKUP(E39,Prices!$A:$C,3,FALSE)), IF(E39="Crystal dust", VLOOKUP("Enhanced crystal teleport seed",Prices!$A:$C,2,FALSE)/1500, VLOOKUP(E39,Prices!$A:$C,2,FALSE)))*I39)</f>
        <v>0</v>
      </c>
      <c r="N39" s="41">
        <f>IF(OR(C39="Ashes",C39="Crystal dust"),K39,K39*0.9)</f>
        <v>2457</v>
      </c>
      <c r="O39" s="42">
        <f>IF(OR(D39="Ashes",D39="Crystal dust"),L39,L39*0.9)</f>
        <v>0</v>
      </c>
      <c r="P39" s="43">
        <f>IF(OR(E39="Ashes",E39="Crystal dust"),M39,M39*0.9)</f>
        <v>0</v>
      </c>
      <c r="Q39" s="10">
        <f>IFERROR(VLOOKUP("Amulet of chemistry",Prices!$A:$C,2,FALSE),"")</f>
        <v>1300</v>
      </c>
      <c r="R39" s="9">
        <f>IF(Config!$B$8,Q39/10,Q39/5)</f>
        <v>130</v>
      </c>
      <c r="S39" s="9">
        <f>IF(Config!$B$8,R39*0.15,R39*0.05)</f>
        <v>19.5</v>
      </c>
      <c r="T39" s="9">
        <f>J39+IF(Config!$B$6,SUM(N39,P39),SUM(K39:M39))+IF(Config!$B$7,S39,0)</f>
        <v>5917.5</v>
      </c>
      <c r="U39" s="10">
        <f>IF(Config!$B$3="low",IF($AC39,VLOOKUP($A39,Prices!$A:$C,3,FALSE),VLOOKUP($A39&amp;"(3)",Prices!$A:$C,3,FALSE)),IF($AC39,VLOOKUP($A39,Prices!$A:$C,2,FALSE),VLOOKUP($A39&amp;"(3)",Prices!$A:$C,2,FALSE)))</f>
        <v>3756</v>
      </c>
      <c r="V39" s="10">
        <f>IF(Config!$B$9,W39*3/4,U39)</f>
        <v>4665.75</v>
      </c>
      <c r="W39" s="10">
        <f>IF(Config!$B$3="low",IF($AC39,VLOOKUP($A39,Prices!$A:$C,3,FALSE),VLOOKUP($A39&amp;"(4)",Prices!$A:$C,3,FALSE)),IF($AC39,VLOOKUP($A39,Prices!$A:$C,2,FALSE),VLOOKUP($A39&amp;"(4)",Prices!$A:$C,2,FALSE)))</f>
        <v>6221</v>
      </c>
      <c r="X39" s="10">
        <f>IF(Config!$B$7,IF(Config!$B$8,V39*0.85+W39*0.15,V39*0.95+W39*0.05),V39)</f>
        <v>4899.0374999999995</v>
      </c>
      <c r="Y39" s="10">
        <f>_xlfn.CEILING.MATH(X39*0.98)</f>
        <v>4802</v>
      </c>
      <c r="Z39" s="11">
        <f>Y39-T39</f>
        <v>-1115.5</v>
      </c>
      <c r="AA39">
        <v>90</v>
      </c>
      <c r="AB39" s="11">
        <f>Z39/AA39</f>
        <v>-12.394444444444444</v>
      </c>
      <c r="AC39" s="12" t="b">
        <v>0</v>
      </c>
      <c r="AD39" s="10">
        <f>IF(AC39,VLOOKUP(A39,Prices!A:D,4,0),VLOOKUP(A39&amp;"(3)",Prices!A:D,4,0)*0.85+VLOOKUP(A39&amp;"(4)",Prices!A:D,4,0)*0.15)</f>
        <v>72.349999999999994</v>
      </c>
      <c r="AE39" s="33">
        <v>87</v>
      </c>
    </row>
    <row r="40" spans="1:31" x14ac:dyDescent="0.35">
      <c r="A40" s="22" t="s">
        <v>163</v>
      </c>
      <c r="B40" s="8" t="s">
        <v>138</v>
      </c>
      <c r="C40" s="5" t="s">
        <v>68</v>
      </c>
      <c r="D40" s="6"/>
      <c r="E40" s="7"/>
      <c r="F40" s="31">
        <v>1</v>
      </c>
      <c r="G40" s="5">
        <v>1</v>
      </c>
      <c r="H40" s="6">
        <v>0</v>
      </c>
      <c r="I40" s="36">
        <v>0</v>
      </c>
      <c r="J40" s="44">
        <f>IF(ISBLANK(B40),0,IF(Config!$B$2="low", VLOOKUP(B40,Prices!$A:$C,3,FALSE), VLOOKUP(B40,Prices!$A:$C,2,FALSE))*F40)</f>
        <v>2378</v>
      </c>
      <c r="K40" s="45">
        <f>IF(ISBLANK(C40),0,IF(Config!$B$2="low", IF(C40="Crystal dust", VLOOKUP("Enhanced crystal teleport seed",Prices!$A:$C,3,FALSE)/1500, VLOOKUP(C40,Prices!$A:$C,3,FALSE)), IF(C40="Crystal dust", VLOOKUP("Enhanced crystal teleport seed",Prices!$A:$C,2,FALSE)/1500, VLOOKUP(C40,Prices!$A:$C,2,FALSE)))*G40)</f>
        <v>52</v>
      </c>
      <c r="L40" s="42">
        <f>IF(ISBLANK(D40),0,IF(Config!$B$2="low", IF(D40="Crystal dust", VLOOKUP("Enhanced crystal teleport seed",Prices!$A:$C,3,FALSE)/1500, VLOOKUP(D40,Prices!$A:$C,3,FALSE)), IF(D40="Crystal dust", VLOOKUP("Enhanced crystal teleport seed",Prices!$A:$C,2,FALSE)/1500, VLOOKUP(D40,Prices!$A:$C,2,FALSE)))*H40)</f>
        <v>0</v>
      </c>
      <c r="M40" s="43">
        <f>IF(ISBLANK(E40),0,IF(Config!$B$2="low", IF(E40="Crystal dust", VLOOKUP("Enhanced crystal teleport seed",Prices!$A:$C,3,FALSE)/1500, VLOOKUP(E40,Prices!$A:$C,3,FALSE)), IF(E40="Crystal dust", VLOOKUP("Enhanced crystal teleport seed",Prices!$A:$C,2,FALSE)/1500, VLOOKUP(E40,Prices!$A:$C,2,FALSE)))*I40)</f>
        <v>0</v>
      </c>
      <c r="N40" s="41">
        <f>IF(OR(C40="Ashes",C40="Crystal dust"),K40,K40*0.9)</f>
        <v>46.800000000000004</v>
      </c>
      <c r="O40" s="42">
        <f>IF(OR(D40="Ashes",D40="Crystal dust"),L40,L40*0.9)</f>
        <v>0</v>
      </c>
      <c r="P40" s="43">
        <f>IF(OR(E40="Ashes",E40="Crystal dust"),M40,M40*0.9)</f>
        <v>0</v>
      </c>
      <c r="Q40" s="10">
        <f>IFERROR(VLOOKUP("Amulet of chemistry",Prices!$A:$C,2,FALSE),"")</f>
        <v>1300</v>
      </c>
      <c r="R40" s="9">
        <f>IF(Config!$B$8,Q40/10,Q40/5)</f>
        <v>130</v>
      </c>
      <c r="S40" s="9">
        <f>IF(Config!$B$8,R40*0.15,R40*0.05)</f>
        <v>19.5</v>
      </c>
      <c r="T40" s="9">
        <f>J40+IF(Config!$B$6,SUM(N40,P40),SUM(K40:M40))+IF(Config!$B$7,S40,0)</f>
        <v>2444.3000000000002</v>
      </c>
      <c r="U40" s="10">
        <f>IF(Config!$B$3="low",IF($AC40,VLOOKUP($A40,Prices!$A:$C,3,FALSE),VLOOKUP($A40&amp;"(3)",Prices!$A:$C,3,FALSE)),IF($AC40,VLOOKUP($A40,Prices!$A:$C,2,FALSE),VLOOKUP($A40&amp;"(3)",Prices!$A:$C,2,FALSE)))</f>
        <v>115</v>
      </c>
      <c r="V40" s="10">
        <f>IF(Config!$B$9,W40*3/4,U40)</f>
        <v>150</v>
      </c>
      <c r="W40" s="10">
        <f>IF(Config!$B$3="low",IF($AC40,VLOOKUP($A40,Prices!$A:$C,3,FALSE),VLOOKUP($A40&amp;"(4)",Prices!$A:$C,3,FALSE)),IF($AC40,VLOOKUP($A40,Prices!$A:$C,2,FALSE),VLOOKUP($A40&amp;"(4)",Prices!$A:$C,2,FALSE)))</f>
        <v>200</v>
      </c>
      <c r="X40" s="10">
        <f>IF(Config!$B$7,IF(Config!$B$8,V40*0.85+W40*0.15,V40*0.95+W40*0.05),V40)</f>
        <v>157.5</v>
      </c>
      <c r="Y40" s="10">
        <f>_xlfn.CEILING.MATH(X40*0.98)</f>
        <v>155</v>
      </c>
      <c r="Z40" s="11">
        <f>Y40-T40</f>
        <v>-2289.3000000000002</v>
      </c>
      <c r="AA40">
        <v>172.5</v>
      </c>
      <c r="AB40" s="11">
        <f>Z40/AA40</f>
        <v>-13.271304347826089</v>
      </c>
      <c r="AC40" s="12" t="b">
        <v>0</v>
      </c>
      <c r="AD40" s="10">
        <f>IF(AC40,VLOOKUP(A40,Prices!A:D,4,0),VLOOKUP(A40&amp;"(3)",Prices!A:D,4,0)*0.85+VLOOKUP(A40&amp;"(4)",Prices!A:D,4,0)*0.15)</f>
        <v>766.45</v>
      </c>
      <c r="AE40" s="33">
        <v>76</v>
      </c>
    </row>
    <row r="41" spans="1:31" x14ac:dyDescent="0.35">
      <c r="A41" s="22" t="s">
        <v>127</v>
      </c>
      <c r="B41" s="8" t="s">
        <v>102</v>
      </c>
      <c r="C41" s="5" t="s">
        <v>128</v>
      </c>
      <c r="D41" s="6"/>
      <c r="E41" s="7"/>
      <c r="F41" s="31">
        <v>1</v>
      </c>
      <c r="G41" s="5">
        <v>1</v>
      </c>
      <c r="H41" s="6">
        <v>0</v>
      </c>
      <c r="I41" s="36">
        <v>0</v>
      </c>
      <c r="J41" s="44">
        <f>IF(ISBLANK(B41),0,IF(Config!$B$2="low", VLOOKUP(B41,Prices!$A:$C,3,FALSE), VLOOKUP(B41,Prices!$A:$C,2,FALSE))*F41)</f>
        <v>2717</v>
      </c>
      <c r="K41" s="45">
        <f>IF(ISBLANK(C41),0,IF(Config!$B$2="low", IF(C41="Crystal dust", VLOOKUP("Enhanced crystal teleport seed",Prices!$A:$C,3,FALSE)/1500, VLOOKUP(C41,Prices!$A:$C,3,FALSE)), IF(C41="Crystal dust", VLOOKUP("Enhanced crystal teleport seed",Prices!$A:$C,2,FALSE)/1500, VLOOKUP(C41,Prices!$A:$C,2,FALSE)))*G41)</f>
        <v>185</v>
      </c>
      <c r="L41" s="42">
        <f>IF(ISBLANK(D41),0,IF(Config!$B$2="low", IF(D41="Crystal dust", VLOOKUP("Enhanced crystal teleport seed",Prices!$A:$C,3,FALSE)/1500, VLOOKUP(D41,Prices!$A:$C,3,FALSE)), IF(D41="Crystal dust", VLOOKUP("Enhanced crystal teleport seed",Prices!$A:$C,2,FALSE)/1500, VLOOKUP(D41,Prices!$A:$C,2,FALSE)))*H41)</f>
        <v>0</v>
      </c>
      <c r="M41" s="43">
        <f>IF(ISBLANK(E41),0,IF(Config!$B$2="low", IF(E41="Crystal dust", VLOOKUP("Enhanced crystal teleport seed",Prices!$A:$C,3,FALSE)/1500, VLOOKUP(E41,Prices!$A:$C,3,FALSE)), IF(E41="Crystal dust", VLOOKUP("Enhanced crystal teleport seed",Prices!$A:$C,2,FALSE)/1500, VLOOKUP(E41,Prices!$A:$C,2,FALSE)))*I41)</f>
        <v>0</v>
      </c>
      <c r="N41" s="41">
        <f>IF(OR(C41="Ashes",C41="Crystal dust"),K41,K41*0.9)</f>
        <v>166.5</v>
      </c>
      <c r="O41" s="42">
        <f>IF(OR(D41="Ashes",D41="Crystal dust"),L41,L41*0.9)</f>
        <v>0</v>
      </c>
      <c r="P41" s="43">
        <f>IF(OR(E41="Ashes",E41="Crystal dust"),M41,M41*0.9)</f>
        <v>0</v>
      </c>
      <c r="Q41" s="10">
        <f>IFERROR(VLOOKUP("Amulet of chemistry",Prices!$A:$C,2,FALSE),"")</f>
        <v>1300</v>
      </c>
      <c r="R41" s="9">
        <f>IF(Config!$B$8,Q41/10,Q41/5)</f>
        <v>130</v>
      </c>
      <c r="S41" s="9">
        <f>IF(Config!$B$8,R41*0.15,R41*0.05)</f>
        <v>19.5</v>
      </c>
      <c r="T41" s="9">
        <f>J41+IF(Config!$B$6,SUM(N41,P41),SUM(K41:M41))+IF(Config!$B$7,S41,0)</f>
        <v>2903</v>
      </c>
      <c r="U41" s="10">
        <f>IF(Config!$B$3="low",IF($AC41,VLOOKUP($A41,Prices!$A:$C,3,FALSE),VLOOKUP($A41&amp;"(3)",Prices!$A:$C,3,FALSE)),IF($AC41,VLOOKUP($A41,Prices!$A:$C,2,FALSE),VLOOKUP($A41&amp;"(3)",Prices!$A:$C,2,FALSE)))</f>
        <v>1409</v>
      </c>
      <c r="V41" s="10">
        <f>IF(Config!$B$9,W41*3/4,U41)</f>
        <v>1431</v>
      </c>
      <c r="W41" s="10">
        <f>IF(Config!$B$3="low",IF($AC41,VLOOKUP($A41,Prices!$A:$C,3,FALSE),VLOOKUP($A41&amp;"(4)",Prices!$A:$C,3,FALSE)),IF($AC41,VLOOKUP($A41,Prices!$A:$C,2,FALSE),VLOOKUP($A41&amp;"(4)",Prices!$A:$C,2,FALSE)))</f>
        <v>1908</v>
      </c>
      <c r="X41" s="10">
        <f>IF(Config!$B$7,IF(Config!$B$8,V41*0.85+W41*0.15,V41*0.95+W41*0.05),V41)</f>
        <v>1502.55</v>
      </c>
      <c r="Y41" s="10">
        <f>_xlfn.CEILING.MATH(X41*0.98)</f>
        <v>1473</v>
      </c>
      <c r="Z41" s="11">
        <f>Y41-T41</f>
        <v>-1430</v>
      </c>
      <c r="AA41">
        <v>106.3</v>
      </c>
      <c r="AB41" s="11">
        <f>Z41/AA41</f>
        <v>-13.452492944496708</v>
      </c>
      <c r="AC41" s="12" t="b">
        <v>0</v>
      </c>
      <c r="AD41" s="10">
        <f>IF(AC41,VLOOKUP(A41,Prices!A:D,4,0),VLOOKUP(A41&amp;"(3)",Prices!A:D,4,0)*0.85+VLOOKUP(A41&amp;"(4)",Prices!A:D,4,0)*0.15)</f>
        <v>3376.95</v>
      </c>
      <c r="AE41" s="33">
        <v>48</v>
      </c>
    </row>
    <row r="42" spans="1:31" x14ac:dyDescent="0.35">
      <c r="A42" s="22" t="s">
        <v>142</v>
      </c>
      <c r="B42" s="8" t="s">
        <v>143</v>
      </c>
      <c r="C42" s="5" t="s">
        <v>144</v>
      </c>
      <c r="D42" s="6"/>
      <c r="E42" s="7"/>
      <c r="F42" s="31">
        <v>1</v>
      </c>
      <c r="G42" s="5">
        <v>1</v>
      </c>
      <c r="H42" s="6">
        <v>0</v>
      </c>
      <c r="I42" s="36">
        <v>0</v>
      </c>
      <c r="J42" s="44">
        <f>IF(ISBLANK(B42),0,IF(Config!$B$2="low", VLOOKUP(B42,Prices!$A:$C,3,FALSE), VLOOKUP(B42,Prices!$A:$C,2,FALSE))*F42)</f>
        <v>4128</v>
      </c>
      <c r="K42" s="45">
        <f>IF(ISBLANK(C42),0,IF(Config!$B$2="low", IF(C42="Crystal dust", VLOOKUP("Enhanced crystal teleport seed",Prices!$A:$C,3,FALSE)/1500, VLOOKUP(C42,Prices!$A:$C,3,FALSE)), IF(C42="Crystal dust", VLOOKUP("Enhanced crystal teleport seed",Prices!$A:$C,2,FALSE)/1500, VLOOKUP(C42,Prices!$A:$C,2,FALSE)))*G42)</f>
        <v>1280</v>
      </c>
      <c r="L42" s="42">
        <f>IF(ISBLANK(D42),0,IF(Config!$B$2="low", IF(D42="Crystal dust", VLOOKUP("Enhanced crystal teleport seed",Prices!$A:$C,3,FALSE)/1500, VLOOKUP(D42,Prices!$A:$C,3,FALSE)), IF(D42="Crystal dust", VLOOKUP("Enhanced crystal teleport seed",Prices!$A:$C,2,FALSE)/1500, VLOOKUP(D42,Prices!$A:$C,2,FALSE)))*H42)</f>
        <v>0</v>
      </c>
      <c r="M42" s="43">
        <f>IF(ISBLANK(E42),0,IF(Config!$B$2="low", IF(E42="Crystal dust", VLOOKUP("Enhanced crystal teleport seed",Prices!$A:$C,3,FALSE)/1500, VLOOKUP(E42,Prices!$A:$C,3,FALSE)), IF(E42="Crystal dust", VLOOKUP("Enhanced crystal teleport seed",Prices!$A:$C,2,FALSE)/1500, VLOOKUP(E42,Prices!$A:$C,2,FALSE)))*I42)</f>
        <v>0</v>
      </c>
      <c r="N42" s="41">
        <f>IF(OR(C42="Ashes",C42="Crystal dust"),K42,K42*0.9)</f>
        <v>1152</v>
      </c>
      <c r="O42" s="42">
        <f>IF(OR(D42="Ashes",D42="Crystal dust"),L42,L42*0.9)</f>
        <v>0</v>
      </c>
      <c r="P42" s="43">
        <f>IF(OR(E42="Ashes",E42="Crystal dust"),M42,M42*0.9)</f>
        <v>0</v>
      </c>
      <c r="Q42" s="10">
        <f>IFERROR(VLOOKUP("Amulet of chemistry",Prices!$A:$C,2,FALSE),"")</f>
        <v>1300</v>
      </c>
      <c r="R42" s="9">
        <f>IF(Config!$B$8,Q42/10,Q42/5)</f>
        <v>130</v>
      </c>
      <c r="S42" s="9">
        <f>IF(Config!$B$8,R42*0.15,R42*0.05)</f>
        <v>19.5</v>
      </c>
      <c r="T42" s="9">
        <f>J42+IF(Config!$B$6,SUM(N42,P42),SUM(K42:M42))+IF(Config!$B$7,S42,0)</f>
        <v>5299.5</v>
      </c>
      <c r="U42" s="10">
        <f>IF(Config!$B$3="low",IF($AC42,VLOOKUP($A42,Prices!$A:$C,3,FALSE),VLOOKUP($A42&amp;"(3)",Prices!$A:$C,3,FALSE)),IF($AC42,VLOOKUP($A42,Prices!$A:$C,2,FALSE),VLOOKUP($A42&amp;"(3)",Prices!$A:$C,2,FALSE)))</f>
        <v>1870</v>
      </c>
      <c r="V42" s="10">
        <f>IF(Config!$B$9,W42*3/4,U42)</f>
        <v>1968.75</v>
      </c>
      <c r="W42" s="10">
        <f>IF(Config!$B$3="low",IF($AC42,VLOOKUP($A42,Prices!$A:$C,3,FALSE),VLOOKUP($A42&amp;"(4)",Prices!$A:$C,3,FALSE)),IF($AC42,VLOOKUP($A42,Prices!$A:$C,2,FALSE),VLOOKUP($A42&amp;"(4)",Prices!$A:$C,2,FALSE)))</f>
        <v>2625</v>
      </c>
      <c r="X42" s="10">
        <f>IF(Config!$B$7,IF(Config!$B$8,V42*0.85+W42*0.15,V42*0.95+W42*0.05),V42)</f>
        <v>2067.1875</v>
      </c>
      <c r="Y42" s="10">
        <f>_xlfn.CEILING.MATH(X42*0.98)</f>
        <v>2026</v>
      </c>
      <c r="Z42" s="11">
        <f>Y42-T42</f>
        <v>-3273.5</v>
      </c>
      <c r="AA42">
        <v>205</v>
      </c>
      <c r="AB42" s="11">
        <f>Z42/AA42</f>
        <v>-15.96829268292683</v>
      </c>
      <c r="AC42" s="12" t="b">
        <v>0</v>
      </c>
      <c r="AD42" s="10">
        <f>IF(AC42,VLOOKUP(A42,Prices!A:D,4,0),VLOOKUP(A42&amp;"(3)",Prices!A:D,4,0)*0.85+VLOOKUP(A42&amp;"(4)",Prices!A:D,4,0)*0.15)</f>
        <v>685.5</v>
      </c>
      <c r="AE42" s="33">
        <v>89</v>
      </c>
    </row>
    <row r="43" spans="1:31" x14ac:dyDescent="0.35">
      <c r="A43" s="22" t="s">
        <v>121</v>
      </c>
      <c r="B43" s="8" t="s">
        <v>122</v>
      </c>
      <c r="C43" s="5" t="s">
        <v>123</v>
      </c>
      <c r="D43" s="6"/>
      <c r="E43" s="7"/>
      <c r="F43" s="31">
        <v>1</v>
      </c>
      <c r="G43" s="5">
        <v>1</v>
      </c>
      <c r="H43" s="6">
        <v>0</v>
      </c>
      <c r="I43" s="36">
        <v>0</v>
      </c>
      <c r="J43" s="44">
        <f>IF(ISBLANK(B43),0,IF(Config!$B$2="low", VLOOKUP(B43,Prices!$A:$C,3,FALSE), VLOOKUP(B43,Prices!$A:$C,2,FALSE))*F43)</f>
        <v>3897</v>
      </c>
      <c r="K43" s="45">
        <f>IF(ISBLANK(C43),0,IF(Config!$B$2="low", IF(C43="Crystal dust", VLOOKUP("Enhanced crystal teleport seed",Prices!$A:$C,3,FALSE)/1500, VLOOKUP(C43,Prices!$A:$C,3,FALSE)), IF(C43="Crystal dust", VLOOKUP("Enhanced crystal teleport seed",Prices!$A:$C,2,FALSE)/1500, VLOOKUP(C43,Prices!$A:$C,2,FALSE)))*G43)</f>
        <v>200</v>
      </c>
      <c r="L43" s="42">
        <f>IF(ISBLANK(D43),0,IF(Config!$B$2="low", IF(D43="Crystal dust", VLOOKUP("Enhanced crystal teleport seed",Prices!$A:$C,3,FALSE)/1500, VLOOKUP(D43,Prices!$A:$C,3,FALSE)), IF(D43="Crystal dust", VLOOKUP("Enhanced crystal teleport seed",Prices!$A:$C,2,FALSE)/1500, VLOOKUP(D43,Prices!$A:$C,2,FALSE)))*H43)</f>
        <v>0</v>
      </c>
      <c r="M43" s="43">
        <f>IF(ISBLANK(E43),0,IF(Config!$B$2="low", IF(E43="Crystal dust", VLOOKUP("Enhanced crystal teleport seed",Prices!$A:$C,3,FALSE)/1500, VLOOKUP(E43,Prices!$A:$C,3,FALSE)), IF(E43="Crystal dust", VLOOKUP("Enhanced crystal teleport seed",Prices!$A:$C,2,FALSE)/1500, VLOOKUP(E43,Prices!$A:$C,2,FALSE)))*I43)</f>
        <v>0</v>
      </c>
      <c r="N43" s="41">
        <f>IF(OR(C43="Ashes",C43="Crystal dust"),K43,K43*0.9)</f>
        <v>180</v>
      </c>
      <c r="O43" s="42">
        <f>IF(OR(D43="Ashes",D43="Crystal dust"),L43,L43*0.9)</f>
        <v>0</v>
      </c>
      <c r="P43" s="43">
        <f>IF(OR(E43="Ashes",E43="Crystal dust"),M43,M43*0.9)</f>
        <v>0</v>
      </c>
      <c r="Q43" s="10">
        <f>IFERROR(VLOOKUP("Amulet of chemistry",Prices!$A:$C,2,FALSE),"")</f>
        <v>1300</v>
      </c>
      <c r="R43" s="9">
        <f>IF(Config!$B$8,Q43/10,Q43/5)</f>
        <v>130</v>
      </c>
      <c r="S43" s="9">
        <f>IF(Config!$B$8,R43*0.15,R43*0.05)</f>
        <v>19.5</v>
      </c>
      <c r="T43" s="9">
        <f>J43+IF(Config!$B$6,SUM(N43,P43),SUM(K43:M43))+IF(Config!$B$7,S43,0)</f>
        <v>4096.5</v>
      </c>
      <c r="U43" s="10">
        <f>IF(Config!$B$3="low",IF($AC43,VLOOKUP($A43,Prices!$A:$C,3,FALSE),VLOOKUP($A43&amp;"(3)",Prices!$A:$C,3,FALSE)),IF($AC43,VLOOKUP($A43,Prices!$A:$C,2,FALSE),VLOOKUP($A43&amp;"(3)",Prices!$A:$C,2,FALSE)))</f>
        <v>1202</v>
      </c>
      <c r="V43" s="10">
        <f>IF(Config!$B$9,W43*3/4,U43)</f>
        <v>1702.5</v>
      </c>
      <c r="W43" s="10">
        <f>IF(Config!$B$3="low",IF($AC43,VLOOKUP($A43,Prices!$A:$C,3,FALSE),VLOOKUP($A43&amp;"(4)",Prices!$A:$C,3,FALSE)),IF($AC43,VLOOKUP($A43,Prices!$A:$C,2,FALSE),VLOOKUP($A43&amp;"(4)",Prices!$A:$C,2,FALSE)))</f>
        <v>2270</v>
      </c>
      <c r="X43" s="10">
        <f>IF(Config!$B$7,IF(Config!$B$8,V43*0.85+W43*0.15,V43*0.95+W43*0.05),V43)</f>
        <v>1787.625</v>
      </c>
      <c r="Y43" s="10">
        <f>_xlfn.CEILING.MATH(X43*0.98)</f>
        <v>1752</v>
      </c>
      <c r="Z43" s="11">
        <f>Y43-T43</f>
        <v>-2344.5</v>
      </c>
      <c r="AA43">
        <v>140.5</v>
      </c>
      <c r="AB43" s="11">
        <f>Z43/AA43</f>
        <v>-16.686832740213521</v>
      </c>
      <c r="AC43" s="12" t="b">
        <v>0</v>
      </c>
      <c r="AD43" s="10">
        <f>IF(AC43,VLOOKUP(A43,Prices!A:D,4,0),VLOOKUP(A43&amp;"(3)",Prices!A:D,4,0)*0.85+VLOOKUP(A43&amp;"(4)",Prices!A:D,4,0)*0.15)</f>
        <v>4.0999999999999996</v>
      </c>
      <c r="AE43" s="33">
        <v>62</v>
      </c>
    </row>
    <row r="44" spans="1:31" x14ac:dyDescent="0.35">
      <c r="A44" s="22" t="s">
        <v>164</v>
      </c>
      <c r="B44" s="8" t="s">
        <v>165</v>
      </c>
      <c r="C44" s="5" t="s">
        <v>103</v>
      </c>
      <c r="D44" s="6"/>
      <c r="E44" s="7"/>
      <c r="F44" s="31">
        <v>1</v>
      </c>
      <c r="G44" s="5">
        <v>1</v>
      </c>
      <c r="H44" s="6">
        <v>0</v>
      </c>
      <c r="I44" s="36">
        <v>0</v>
      </c>
      <c r="J44" s="44">
        <f>IF(ISBLANK(B44),0,IF(Config!$B$2="low", VLOOKUP(B44,Prices!$A:$C,3,FALSE), VLOOKUP(B44,Prices!$A:$C,2,FALSE))*F44)</f>
        <v>461</v>
      </c>
      <c r="K44" s="45">
        <f>IF(ISBLANK(C44),0,IF(Config!$B$2="low", IF(C44="Crystal dust", VLOOKUP("Enhanced crystal teleport seed",Prices!$A:$C,3,FALSE)/1500, VLOOKUP(C44,Prices!$A:$C,3,FALSE)), IF(C44="Crystal dust", VLOOKUP("Enhanced crystal teleport seed",Prices!$A:$C,2,FALSE)/1500, VLOOKUP(C44,Prices!$A:$C,2,FALSE)))*G44)</f>
        <v>4</v>
      </c>
      <c r="L44" s="42">
        <f>IF(ISBLANK(D44),0,IF(Config!$B$2="low", IF(D44="Crystal dust", VLOOKUP("Enhanced crystal teleport seed",Prices!$A:$C,3,FALSE)/1500, VLOOKUP(D44,Prices!$A:$C,3,FALSE)), IF(D44="Crystal dust", VLOOKUP("Enhanced crystal teleport seed",Prices!$A:$C,2,FALSE)/1500, VLOOKUP(D44,Prices!$A:$C,2,FALSE)))*H44)</f>
        <v>0</v>
      </c>
      <c r="M44" s="43">
        <f>IF(ISBLANK(E44),0,IF(Config!$B$2="low", IF(E44="Crystal dust", VLOOKUP("Enhanced crystal teleport seed",Prices!$A:$C,3,FALSE)/1500, VLOOKUP(E44,Prices!$A:$C,3,FALSE)), IF(E44="Crystal dust", VLOOKUP("Enhanced crystal teleport seed",Prices!$A:$C,2,FALSE)/1500, VLOOKUP(E44,Prices!$A:$C,2,FALSE)))*I44)</f>
        <v>0</v>
      </c>
      <c r="N44" s="41">
        <f>IF(OR(C44="Ashes",C44="Crystal dust"),K44,K44*0.9)</f>
        <v>3.6</v>
      </c>
      <c r="O44" s="42">
        <f>IF(OR(D44="Ashes",D44="Crystal dust"),L44,L44*0.9)</f>
        <v>0</v>
      </c>
      <c r="P44" s="43">
        <f>IF(OR(E44="Ashes",E44="Crystal dust"),M44,M44*0.9)</f>
        <v>0</v>
      </c>
      <c r="Q44" s="10">
        <f>IFERROR(VLOOKUP("Amulet of chemistry",Prices!$A:$C,2,FALSE),"")</f>
        <v>1300</v>
      </c>
      <c r="R44" s="9">
        <f>IF(Config!$B$8,Q44/10,Q44/5)</f>
        <v>130</v>
      </c>
      <c r="S44" s="9">
        <f>IF(Config!$B$8,R44*0.15,R44*0.05)</f>
        <v>19.5</v>
      </c>
      <c r="T44" s="9">
        <f>J44+IF(Config!$B$6,SUM(N44,P44),SUM(K44:M44))+IF(Config!$B$7,S44,0)</f>
        <v>484.1</v>
      </c>
      <c r="U44" s="10">
        <f>IF(Config!$B$3="low",IF($AC44,VLOOKUP($A44,Prices!$A:$C,3,FALSE),VLOOKUP($A44&amp;"(3)",Prices!$A:$C,3,FALSE)),IF($AC44,VLOOKUP($A44,Prices!$A:$C,2,FALSE),VLOOKUP($A44&amp;"(3)",Prices!$A:$C,2,FALSE)))</f>
        <v>7</v>
      </c>
      <c r="V44" s="10">
        <f>IF(Config!$B$9,W44*3/4,U44)</f>
        <v>8.25</v>
      </c>
      <c r="W44" s="10">
        <f>IF(Config!$B$3="low",IF($AC44,VLOOKUP($A44,Prices!$A:$C,3,FALSE),VLOOKUP($A44&amp;"(4)",Prices!$A:$C,3,FALSE)),IF($AC44,VLOOKUP($A44,Prices!$A:$C,2,FALSE),VLOOKUP($A44&amp;"(4)",Prices!$A:$C,2,FALSE)))</f>
        <v>11</v>
      </c>
      <c r="X44" s="10">
        <f>IF(Config!$B$7,IF(Config!$B$8,V44*0.85+W44*0.15,V44*0.95+W44*0.05),V44)</f>
        <v>8.6624999999999996</v>
      </c>
      <c r="Y44" s="10">
        <f>_xlfn.CEILING.MATH(X44*0.98)</f>
        <v>9</v>
      </c>
      <c r="Z44" s="11">
        <f>Y44-T44</f>
        <v>-475.1</v>
      </c>
      <c r="AA44">
        <v>25</v>
      </c>
      <c r="AB44" s="11">
        <f>Z44/AA44</f>
        <v>-19.004000000000001</v>
      </c>
      <c r="AC44" s="12" t="b">
        <v>0</v>
      </c>
      <c r="AD44" s="10">
        <f>IF(AC44,VLOOKUP(A44,Prices!A:D,4,0),VLOOKUP(A44&amp;"(3)",Prices!A:D,4,0)*0.85+VLOOKUP(A44&amp;"(4)",Prices!A:D,4,0)*0.15)</f>
        <v>1844.6499999999999</v>
      </c>
      <c r="AE44" s="33">
        <v>3</v>
      </c>
    </row>
    <row r="45" spans="1:31" x14ac:dyDescent="0.35">
      <c r="A45" s="22" t="s">
        <v>48</v>
      </c>
      <c r="B45" s="8" t="s">
        <v>87</v>
      </c>
      <c r="C45" s="5" t="s">
        <v>86</v>
      </c>
      <c r="D45" s="6"/>
      <c r="E45" s="7"/>
      <c r="F45" s="31">
        <v>1</v>
      </c>
      <c r="G45" s="5">
        <v>1</v>
      </c>
      <c r="H45" s="6">
        <v>0</v>
      </c>
      <c r="I45" s="36">
        <v>0</v>
      </c>
      <c r="J45" s="44">
        <f>IF(ISBLANK(B45),0,IF(Config!$B$2="low", VLOOKUP(B45,Prices!$A:$C,3,FALSE), VLOOKUP(B45,Prices!$A:$C,2,FALSE))*F45)</f>
        <v>6221</v>
      </c>
      <c r="K45" s="45">
        <f>IF(ISBLANK(C45),0,IF(Config!$B$2="low", IF(C45="Crystal dust", VLOOKUP("Enhanced crystal teleport seed",Prices!$A:$C,3,FALSE)/1500, VLOOKUP(C45,Prices!$A:$C,3,FALSE)), IF(C45="Crystal dust", VLOOKUP("Enhanced crystal teleport seed",Prices!$A:$C,2,FALSE)/1500, VLOOKUP(C45,Prices!$A:$C,2,FALSE)))*G45)</f>
        <v>3922</v>
      </c>
      <c r="L45" s="42">
        <f>IF(ISBLANK(D45),0,IF(Config!$B$2="low", IF(D45="Crystal dust", VLOOKUP("Enhanced crystal teleport seed",Prices!$A:$C,3,FALSE)/1500, VLOOKUP(D45,Prices!$A:$C,3,FALSE)), IF(D45="Crystal dust", VLOOKUP("Enhanced crystal teleport seed",Prices!$A:$C,2,FALSE)/1500, VLOOKUP(D45,Prices!$A:$C,2,FALSE)))*H45)</f>
        <v>0</v>
      </c>
      <c r="M45" s="43">
        <f>IF(ISBLANK(E45),0,IF(Config!$B$2="low", IF(E45="Crystal dust", VLOOKUP("Enhanced crystal teleport seed",Prices!$A:$C,3,FALSE)/1500, VLOOKUP(E45,Prices!$A:$C,3,FALSE)), IF(E45="Crystal dust", VLOOKUP("Enhanced crystal teleport seed",Prices!$A:$C,2,FALSE)/1500, VLOOKUP(E45,Prices!$A:$C,2,FALSE)))*I45)</f>
        <v>0</v>
      </c>
      <c r="N45" s="41">
        <f>IF(OR(C45="Ashes",C45="Crystal dust"),K45,K45*0.9)</f>
        <v>3529.8</v>
      </c>
      <c r="O45" s="42">
        <f>IF(OR(D45="Ashes",D45="Crystal dust"),L45,L45*0.9)</f>
        <v>0</v>
      </c>
      <c r="P45" s="43">
        <f>IF(OR(E45="Ashes",E45="Crystal dust"),M45,M45*0.9)</f>
        <v>0</v>
      </c>
      <c r="Q45" s="10">
        <f>IFERROR(VLOOKUP("Amulet of chemistry",Prices!$A:$C,2,FALSE),"")</f>
        <v>1300</v>
      </c>
      <c r="R45" s="9">
        <f>IF(Config!$B$8,Q45/10,Q45/5)</f>
        <v>130</v>
      </c>
      <c r="S45" s="9">
        <f>IF(Config!$B$8,R45*0.15,R45*0.05)</f>
        <v>19.5</v>
      </c>
      <c r="T45" s="9">
        <f>J45+IF(Config!$B$6,SUM(N45,P45),SUM(K45:M45))+IF(Config!$B$7,S45,0)</f>
        <v>9770.2999999999993</v>
      </c>
      <c r="U45" s="10">
        <f>IF(Config!$B$3="low",IF($AC45,VLOOKUP($A45,Prices!$A:$C,3,FALSE),VLOOKUP($A45&amp;"(3)",Prices!$A:$C,3,FALSE)),IF($AC45,VLOOKUP($A45,Prices!$A:$C,2,FALSE),VLOOKUP($A45&amp;"(3)",Prices!$A:$C,2,FALSE)))</f>
        <v>9576</v>
      </c>
      <c r="V45" s="10">
        <f>IF(Config!$B$9,W45*3/4,U45)</f>
        <v>7182</v>
      </c>
      <c r="W45" s="10">
        <f>IF(Config!$B$3="low",IF($AC45,VLOOKUP($A45,Prices!$A:$C,3,FALSE),VLOOKUP($A45&amp;"(4)",Prices!$A:$C,3,FALSE)),IF($AC45,VLOOKUP($A45,Prices!$A:$C,2,FALSE),VLOOKUP($A45&amp;"(4)",Prices!$A:$C,2,FALSE)))</f>
        <v>9576</v>
      </c>
      <c r="X45" s="10">
        <f>IF(Config!$B$7,IF(Config!$B$8,V45*0.85+W45*0.15,V45*0.95+W45*0.05),V45)</f>
        <v>7541.0999999999995</v>
      </c>
      <c r="Y45" s="10">
        <f>_xlfn.CEILING.MATH(X45*0.98)</f>
        <v>7391</v>
      </c>
      <c r="Z45" s="11">
        <f>Y45-T45</f>
        <v>-2379.2999999999993</v>
      </c>
      <c r="AA45">
        <v>125</v>
      </c>
      <c r="AB45" s="11">
        <f>Z45/AA45</f>
        <v>-19.034399999999994</v>
      </c>
      <c r="AC45" s="12" t="b">
        <v>1</v>
      </c>
      <c r="AD45" s="10">
        <f>IF(AC45,VLOOKUP(A45,Prices!A:D,4,0),VLOOKUP(A45&amp;"(3)",Prices!A:D,4,0)*0.85+VLOOKUP(A45&amp;"(4)",Prices!A:D,4,0)*0.15)</f>
        <v>2903</v>
      </c>
      <c r="AE45" s="33">
        <v>94</v>
      </c>
    </row>
    <row r="46" spans="1:31" x14ac:dyDescent="0.35">
      <c r="A46" s="22" t="s">
        <v>146</v>
      </c>
      <c r="B46" s="8" t="s">
        <v>122</v>
      </c>
      <c r="C46" s="5" t="s">
        <v>147</v>
      </c>
      <c r="D46" s="6"/>
      <c r="E46" s="7"/>
      <c r="F46" s="31">
        <v>1</v>
      </c>
      <c r="G46" s="5">
        <v>1</v>
      </c>
      <c r="H46" s="6">
        <v>0</v>
      </c>
      <c r="I46" s="36">
        <v>0</v>
      </c>
      <c r="J46" s="44">
        <f>IF(ISBLANK(B46),0,IF(Config!$B$2="low", VLOOKUP(B46,Prices!$A:$C,3,FALSE), VLOOKUP(B46,Prices!$A:$C,2,FALSE))*F46)</f>
        <v>3897</v>
      </c>
      <c r="K46" s="45">
        <f>IF(ISBLANK(C46),0,IF(Config!$B$2="low", IF(C46="Crystal dust", VLOOKUP("Enhanced crystal teleport seed",Prices!$A:$C,3,FALSE)/1500, VLOOKUP(C46,Prices!$A:$C,3,FALSE)), IF(C46="Crystal dust", VLOOKUP("Enhanced crystal teleport seed",Prices!$A:$C,2,FALSE)/1500, VLOOKUP(C46,Prices!$A:$C,2,FALSE)))*G46)</f>
        <v>100</v>
      </c>
      <c r="L46" s="42">
        <f>IF(ISBLANK(D46),0,IF(Config!$B$2="low", IF(D46="Crystal dust", VLOOKUP("Enhanced crystal teleport seed",Prices!$A:$C,3,FALSE)/1500, VLOOKUP(D46,Prices!$A:$C,3,FALSE)), IF(D46="Crystal dust", VLOOKUP("Enhanced crystal teleport seed",Prices!$A:$C,2,FALSE)/1500, VLOOKUP(D46,Prices!$A:$C,2,FALSE)))*H46)</f>
        <v>0</v>
      </c>
      <c r="M46" s="43">
        <f>IF(ISBLANK(E46),0,IF(Config!$B$2="low", IF(E46="Crystal dust", VLOOKUP("Enhanced crystal teleport seed",Prices!$A:$C,3,FALSE)/1500, VLOOKUP(E46,Prices!$A:$C,3,FALSE)), IF(E46="Crystal dust", VLOOKUP("Enhanced crystal teleport seed",Prices!$A:$C,2,FALSE)/1500, VLOOKUP(E46,Prices!$A:$C,2,FALSE)))*I46)</f>
        <v>0</v>
      </c>
      <c r="N46" s="41">
        <f>IF(OR(C46="Ashes",C46="Crystal dust"),K46,K46*0.9)</f>
        <v>90</v>
      </c>
      <c r="O46" s="42">
        <f>IF(OR(D46="Ashes",D46="Crystal dust"),L46,L46*0.9)</f>
        <v>0</v>
      </c>
      <c r="P46" s="43">
        <f>IF(OR(E46="Ashes",E46="Crystal dust"),M46,M46*0.9)</f>
        <v>0</v>
      </c>
      <c r="Q46" s="10">
        <f>IFERROR(VLOOKUP("Amulet of chemistry",Prices!$A:$C,2,FALSE),"")</f>
        <v>1300</v>
      </c>
      <c r="R46" s="9">
        <f>IF(Config!$B$8,Q46/10,Q46/5)</f>
        <v>130</v>
      </c>
      <c r="S46" s="9">
        <f>IF(Config!$B$8,R46*0.15,R46*0.05)</f>
        <v>19.5</v>
      </c>
      <c r="T46" s="9">
        <f>J46+IF(Config!$B$6,SUM(N46,P46),SUM(K46:M46))+IF(Config!$B$7,S46,0)</f>
        <v>4006.5</v>
      </c>
      <c r="U46" s="10">
        <f>IF(Config!$B$3="low",IF($AC46,VLOOKUP($A46,Prices!$A:$C,3,FALSE),VLOOKUP($A46&amp;"(3)",Prices!$A:$C,3,FALSE)),IF($AC46,VLOOKUP($A46,Prices!$A:$C,2,FALSE),VLOOKUP($A46&amp;"(3)",Prices!$A:$C,2,FALSE)))</f>
        <v>500</v>
      </c>
      <c r="V46" s="10">
        <f>IF(Config!$B$9,W46*3/4,U46)</f>
        <v>748.5</v>
      </c>
      <c r="W46" s="10">
        <f>IF(Config!$B$3="low",IF($AC46,VLOOKUP($A46,Prices!$A:$C,3,FALSE),VLOOKUP($A46&amp;"(4)",Prices!$A:$C,3,FALSE)),IF($AC46,VLOOKUP($A46,Prices!$A:$C,2,FALSE),VLOOKUP($A46&amp;"(4)",Prices!$A:$C,2,FALSE)))</f>
        <v>998</v>
      </c>
      <c r="X46" s="10">
        <f>IF(Config!$B$7,IF(Config!$B$8,V46*0.85+W46*0.15,V46*0.95+W46*0.05),V46)</f>
        <v>785.92499999999995</v>
      </c>
      <c r="Y46" s="10">
        <f>_xlfn.CEILING.MATH(X46*0.98)</f>
        <v>771</v>
      </c>
      <c r="Z46" s="11">
        <f>Y46-T46</f>
        <v>-3235.5</v>
      </c>
      <c r="AA46">
        <v>154</v>
      </c>
      <c r="AB46" s="11">
        <f>Z46/AA46</f>
        <v>-21.009740259740258</v>
      </c>
      <c r="AC46" s="12" t="b">
        <v>0</v>
      </c>
      <c r="AD46" s="10">
        <f>IF(AC46,VLOOKUP(A46,Prices!A:D,4,0),VLOOKUP(A46&amp;"(3)",Prices!A:D,4,0)*0.85+VLOOKUP(A46&amp;"(4)",Prices!A:D,4,0)*0.15)</f>
        <v>21.3</v>
      </c>
      <c r="AE46" s="33">
        <v>67</v>
      </c>
    </row>
    <row r="47" spans="1:31" x14ac:dyDescent="0.35">
      <c r="A47" s="22" t="s">
        <v>156</v>
      </c>
      <c r="B47" s="8" t="s">
        <v>109</v>
      </c>
      <c r="C47" s="5" t="s">
        <v>157</v>
      </c>
      <c r="D47" s="6"/>
      <c r="E47" s="7"/>
      <c r="F47" s="31">
        <v>1</v>
      </c>
      <c r="G47" s="5">
        <v>1</v>
      </c>
      <c r="H47" s="6">
        <v>0</v>
      </c>
      <c r="I47" s="36">
        <v>0</v>
      </c>
      <c r="J47" s="44">
        <f>IF(ISBLANK(B47),0,IF(Config!$B$2="low", VLOOKUP(B47,Prices!$A:$C,3,FALSE), VLOOKUP(B47,Prices!$A:$C,2,FALSE))*F47)</f>
        <v>2671</v>
      </c>
      <c r="K47" s="45">
        <f>IF(ISBLANK(C47),0,IF(Config!$B$2="low", IF(C47="Crystal dust", VLOOKUP("Enhanced crystal teleport seed",Prices!$A:$C,3,FALSE)/1500, VLOOKUP(C47,Prices!$A:$C,3,FALSE)), IF(C47="Crystal dust", VLOOKUP("Enhanced crystal teleport seed",Prices!$A:$C,2,FALSE)/1500, VLOOKUP(C47,Prices!$A:$C,2,FALSE)))*G47)</f>
        <v>628</v>
      </c>
      <c r="L47" s="42">
        <f>IF(ISBLANK(D47),0,IF(Config!$B$2="low", IF(D47="Crystal dust", VLOOKUP("Enhanced crystal teleport seed",Prices!$A:$C,3,FALSE)/1500, VLOOKUP(D47,Prices!$A:$C,3,FALSE)), IF(D47="Crystal dust", VLOOKUP("Enhanced crystal teleport seed",Prices!$A:$C,2,FALSE)/1500, VLOOKUP(D47,Prices!$A:$C,2,FALSE)))*H47)</f>
        <v>0</v>
      </c>
      <c r="M47" s="43">
        <f>IF(ISBLANK(E47),0,IF(Config!$B$2="low", IF(E47="Crystal dust", VLOOKUP("Enhanced crystal teleport seed",Prices!$A:$C,3,FALSE)/1500, VLOOKUP(E47,Prices!$A:$C,3,FALSE)), IF(E47="Crystal dust", VLOOKUP("Enhanced crystal teleport seed",Prices!$A:$C,2,FALSE)/1500, VLOOKUP(E47,Prices!$A:$C,2,FALSE)))*I47)</f>
        <v>0</v>
      </c>
      <c r="N47" s="41">
        <f>IF(OR(C47="Ashes",C47="Crystal dust"),K47,K47*0.9)</f>
        <v>565.20000000000005</v>
      </c>
      <c r="O47" s="42">
        <f>IF(OR(D47="Ashes",D47="Crystal dust"),L47,L47*0.9)</f>
        <v>0</v>
      </c>
      <c r="P47" s="43">
        <f>IF(OR(E47="Ashes",E47="Crystal dust"),M47,M47*0.9)</f>
        <v>0</v>
      </c>
      <c r="Q47" s="10">
        <f>IFERROR(VLOOKUP("Amulet of chemistry",Prices!$A:$C,2,FALSE),"")</f>
        <v>1300</v>
      </c>
      <c r="R47" s="9">
        <f>IF(Config!$B$8,Q47/10,Q47/5)</f>
        <v>130</v>
      </c>
      <c r="S47" s="9">
        <f>IF(Config!$B$8,R47*0.15,R47*0.05)</f>
        <v>19.5</v>
      </c>
      <c r="T47" s="9">
        <f>J47+IF(Config!$B$6,SUM(N47,P47),SUM(K47:M47))+IF(Config!$B$7,S47,0)</f>
        <v>3255.7</v>
      </c>
      <c r="U47" s="10">
        <f>IF(Config!$B$3="low",IF($AC47,VLOOKUP($A47,Prices!$A:$C,3,FALSE),VLOOKUP($A47&amp;"(3)",Prices!$A:$C,3,FALSE)),IF($AC47,VLOOKUP($A47,Prices!$A:$C,2,FALSE),VLOOKUP($A47&amp;"(3)",Prices!$A:$C,2,FALSE)))</f>
        <v>575</v>
      </c>
      <c r="V47" s="10">
        <f>IF(Config!$B$9,W47*3/4,U47)</f>
        <v>579</v>
      </c>
      <c r="W47" s="10">
        <f>IF(Config!$B$3="low",IF($AC47,VLOOKUP($A47,Prices!$A:$C,3,FALSE),VLOOKUP($A47&amp;"(4)",Prices!$A:$C,3,FALSE)),IF($AC47,VLOOKUP($A47,Prices!$A:$C,2,FALSE),VLOOKUP($A47&amp;"(4)",Prices!$A:$C,2,FALSE)))</f>
        <v>772</v>
      </c>
      <c r="X47" s="10">
        <f>IF(Config!$B$7,IF(Config!$B$8,V47*0.85+W47*0.15,V47*0.95+W47*0.05),V47)</f>
        <v>607.94999999999993</v>
      </c>
      <c r="Y47" s="10">
        <f>_xlfn.CEILING.MATH(X47*0.98)</f>
        <v>596</v>
      </c>
      <c r="Z47" s="11">
        <f>Y47-T47</f>
        <v>-2659.7</v>
      </c>
      <c r="AA47">
        <v>120</v>
      </c>
      <c r="AB47" s="11">
        <f>Z47/AA47</f>
        <v>-22.164166666666667</v>
      </c>
      <c r="AC47" s="12" t="b">
        <v>0</v>
      </c>
      <c r="AD47" s="10">
        <f>IF(AC47,VLOOKUP(A47,Prices!A:D,4,0),VLOOKUP(A47&amp;"(3)",Prices!A:D,4,0)*0.85+VLOOKUP(A47&amp;"(4)",Prices!A:D,4,0)*0.15)</f>
        <v>14.25</v>
      </c>
      <c r="AE47" s="33">
        <v>53</v>
      </c>
    </row>
    <row r="48" spans="1:31" x14ac:dyDescent="0.35">
      <c r="A48" s="22" t="s">
        <v>95</v>
      </c>
      <c r="B48" s="8" t="s">
        <v>120</v>
      </c>
      <c r="C48" s="5" t="s">
        <v>98</v>
      </c>
      <c r="D48" s="6"/>
      <c r="E48" s="7"/>
      <c r="F48" s="31">
        <v>1</v>
      </c>
      <c r="G48" s="5">
        <v>4</v>
      </c>
      <c r="H48" s="6">
        <v>0</v>
      </c>
      <c r="I48" s="36">
        <v>0</v>
      </c>
      <c r="J48" s="44">
        <f>IF(ISBLANK(B48),0,IF(Config!$B$2="low", VLOOKUP(B48,Prices!$A:$C,3,FALSE), VLOOKUP(B48,Prices!$A:$C,2,FALSE))*F48)</f>
        <v>3151</v>
      </c>
      <c r="K48" s="45">
        <f>IF(ISBLANK(C48),0,IF(Config!$B$2="low", IF(C48="Crystal dust", VLOOKUP("Enhanced crystal teleport seed",Prices!$A:$C,3,FALSE)/1500, VLOOKUP(C48,Prices!$A:$C,3,FALSE)), IF(C48="Crystal dust", VLOOKUP("Enhanced crystal teleport seed",Prices!$A:$C,2,FALSE)/1500, VLOOKUP(C48,Prices!$A:$C,2,FALSE)))*G48)</f>
        <v>3256</v>
      </c>
      <c r="L48" s="42">
        <f>IF(ISBLANK(D48),0,IF(Config!$B$2="low", IF(D48="Crystal dust", VLOOKUP("Enhanced crystal teleport seed",Prices!$A:$C,3,FALSE)/1500, VLOOKUP(D48,Prices!$A:$C,3,FALSE)), IF(D48="Crystal dust", VLOOKUP("Enhanced crystal teleport seed",Prices!$A:$C,2,FALSE)/1500, VLOOKUP(D48,Prices!$A:$C,2,FALSE)))*H48)</f>
        <v>0</v>
      </c>
      <c r="M48" s="43">
        <f>IF(ISBLANK(E48),0,IF(Config!$B$2="low", IF(E48="Crystal dust", VLOOKUP("Enhanced crystal teleport seed",Prices!$A:$C,3,FALSE)/1500, VLOOKUP(E48,Prices!$A:$C,3,FALSE)), IF(E48="Crystal dust", VLOOKUP("Enhanced crystal teleport seed",Prices!$A:$C,2,FALSE)/1500, VLOOKUP(E48,Prices!$A:$C,2,FALSE)))*I48)</f>
        <v>0</v>
      </c>
      <c r="N48" s="41">
        <f>IF(OR(C48="Ashes",C48="Crystal dust"),K48,K48*0.9)</f>
        <v>2930.4</v>
      </c>
      <c r="O48" s="42">
        <f>IF(OR(D48="Ashes",D48="Crystal dust"),L48,L48*0.9)</f>
        <v>0</v>
      </c>
      <c r="P48" s="43">
        <f>IF(OR(E48="Ashes",E48="Crystal dust"),M48,M48*0.9)</f>
        <v>0</v>
      </c>
      <c r="Q48" s="10">
        <f>IFERROR(VLOOKUP("Amulet of chemistry",Prices!$A:$C,2,FALSE),"")</f>
        <v>1300</v>
      </c>
      <c r="R48" s="9">
        <f>IF(Config!$B$8,Q48/10,Q48/5)</f>
        <v>130</v>
      </c>
      <c r="S48" s="9">
        <f>IF(Config!$B$8,R48*0.15,R48*0.05)</f>
        <v>19.5</v>
      </c>
      <c r="T48" s="9">
        <f>J48+IF(Config!$B$6,SUM(N48,P48),SUM(K48:M48))+IF(Config!$B$7,S48,0)</f>
        <v>6100.9</v>
      </c>
      <c r="U48" s="10">
        <f>IF(Config!$B$3="low",IF($AC48,VLOOKUP($A48,Prices!$A:$C,3,FALSE),VLOOKUP($A48&amp;"(3)",Prices!$A:$C,3,FALSE)),IF($AC48,VLOOKUP($A48,Prices!$A:$C,2,FALSE),VLOOKUP($A48&amp;"(3)",Prices!$A:$C,2,FALSE)))</f>
        <v>4972</v>
      </c>
      <c r="V48" s="10">
        <f>IF(Config!$B$9,W48*3/4,U48)</f>
        <v>3729</v>
      </c>
      <c r="W48" s="10">
        <f>IF(Config!$B$3="low",IF($AC48,VLOOKUP($A48,Prices!$A:$C,3,FALSE),VLOOKUP($A48&amp;"(4)",Prices!$A:$C,3,FALSE)),IF($AC48,VLOOKUP($A48,Prices!$A:$C,2,FALSE),VLOOKUP($A48&amp;"(4)",Prices!$A:$C,2,FALSE)))</f>
        <v>4972</v>
      </c>
      <c r="X48" s="10">
        <f>IF(Config!$B$7,IF(Config!$B$8,V48*0.85+W48*0.15,V48*0.95+W48*0.05),V48)</f>
        <v>3915.45</v>
      </c>
      <c r="Y48" s="10">
        <f>_xlfn.CEILING.MATH(X48*0.98)</f>
        <v>3838</v>
      </c>
      <c r="Z48" s="11">
        <f>Y48-T48</f>
        <v>-2262.8999999999996</v>
      </c>
      <c r="AA48">
        <v>102</v>
      </c>
      <c r="AB48" s="11">
        <f>Z48/AA48</f>
        <v>-22.185294117647054</v>
      </c>
      <c r="AC48" s="12" t="b">
        <v>1</v>
      </c>
      <c r="AD48" s="10">
        <f>IF(AC48,VLOOKUP(A48,Prices!A:D,4,0),VLOOKUP(A48&amp;"(3)",Prices!A:D,4,0)*0.85+VLOOKUP(A48&amp;"(4)",Prices!A:D,4,0)*0.15)</f>
        <v>3430</v>
      </c>
      <c r="AE48" s="33">
        <v>77</v>
      </c>
    </row>
    <row r="49" spans="1:31" x14ac:dyDescent="0.35">
      <c r="A49" s="22" t="s">
        <v>151</v>
      </c>
      <c r="B49" s="8" t="s">
        <v>152</v>
      </c>
      <c r="C49" s="5" t="s">
        <v>153</v>
      </c>
      <c r="D49" s="6"/>
      <c r="E49" s="7"/>
      <c r="F49" s="31">
        <v>1</v>
      </c>
      <c r="G49" s="5">
        <v>1</v>
      </c>
      <c r="H49" s="6">
        <v>0</v>
      </c>
      <c r="I49" s="36">
        <v>0</v>
      </c>
      <c r="J49" s="44">
        <f>IF(ISBLANK(B49),0,IF(Config!$B$2="low", VLOOKUP(B49,Prices!$A:$C,3,FALSE), VLOOKUP(B49,Prices!$A:$C,2,FALSE))*F49)</f>
        <v>4095</v>
      </c>
      <c r="K49" s="45">
        <f>IF(ISBLANK(C49),0,IF(Config!$B$2="low", IF(C49="Crystal dust", VLOOKUP("Enhanced crystal teleport seed",Prices!$A:$C,3,FALSE)/1500, VLOOKUP(C49,Prices!$A:$C,3,FALSE)), IF(C49="Crystal dust", VLOOKUP("Enhanced crystal teleport seed",Prices!$A:$C,2,FALSE)/1500, VLOOKUP(C49,Prices!$A:$C,2,FALSE)))*G49)</f>
        <v>320</v>
      </c>
      <c r="L49" s="42">
        <f>IF(ISBLANK(D49),0,IF(Config!$B$2="low", IF(D49="Crystal dust", VLOOKUP("Enhanced crystal teleport seed",Prices!$A:$C,3,FALSE)/1500, VLOOKUP(D49,Prices!$A:$C,3,FALSE)), IF(D49="Crystal dust", VLOOKUP("Enhanced crystal teleport seed",Prices!$A:$C,2,FALSE)/1500, VLOOKUP(D49,Prices!$A:$C,2,FALSE)))*H49)</f>
        <v>0</v>
      </c>
      <c r="M49" s="43">
        <f>IF(ISBLANK(E49),0,IF(Config!$B$2="low", IF(E49="Crystal dust", VLOOKUP("Enhanced crystal teleport seed",Prices!$A:$C,3,FALSE)/1500, VLOOKUP(E49,Prices!$A:$C,3,FALSE)), IF(E49="Crystal dust", VLOOKUP("Enhanced crystal teleport seed",Prices!$A:$C,2,FALSE)/1500, VLOOKUP(E49,Prices!$A:$C,2,FALSE)))*I49)</f>
        <v>0</v>
      </c>
      <c r="N49" s="41">
        <f>IF(OR(C49="Ashes",C49="Crystal dust"),K49,K49*0.9)</f>
        <v>288</v>
      </c>
      <c r="O49" s="42">
        <f>IF(OR(D49="Ashes",D49="Crystal dust"),L49,L49*0.9)</f>
        <v>0</v>
      </c>
      <c r="P49" s="43">
        <f>IF(OR(E49="Ashes",E49="Crystal dust"),M49,M49*0.9)</f>
        <v>0</v>
      </c>
      <c r="Q49" s="10">
        <f>IFERROR(VLOOKUP("Amulet of chemistry",Prices!$A:$C,2,FALSE),"")</f>
        <v>1300</v>
      </c>
      <c r="R49" s="9">
        <f>IF(Config!$B$8,Q49/10,Q49/5)</f>
        <v>130</v>
      </c>
      <c r="S49" s="9">
        <f>IF(Config!$B$8,R49*0.15,R49*0.05)</f>
        <v>19.5</v>
      </c>
      <c r="T49" s="9">
        <f>J49+IF(Config!$B$6,SUM(N49,P49),SUM(K49:M49))+IF(Config!$B$7,S49,0)</f>
        <v>4402.5</v>
      </c>
      <c r="U49" s="10">
        <f>IF(Config!$B$3="low",IF($AC49,VLOOKUP($A49,Prices!$A:$C,3,FALSE),VLOOKUP($A49&amp;"(3)",Prices!$A:$C,3,FALSE)),IF($AC49,VLOOKUP($A49,Prices!$A:$C,2,FALSE),VLOOKUP($A49&amp;"(3)",Prices!$A:$C,2,FALSE)))</f>
        <v>388</v>
      </c>
      <c r="V49" s="10">
        <f>IF(Config!$B$9,W49*3/4,U49)</f>
        <v>486.75</v>
      </c>
      <c r="W49" s="10">
        <f>IF(Config!$B$3="low",IF($AC49,VLOOKUP($A49,Prices!$A:$C,3,FALSE),VLOOKUP($A49&amp;"(4)",Prices!$A:$C,3,FALSE)),IF($AC49,VLOOKUP($A49,Prices!$A:$C,2,FALSE),VLOOKUP($A49&amp;"(4)",Prices!$A:$C,2,FALSE)))</f>
        <v>649</v>
      </c>
      <c r="X49" s="10">
        <f>IF(Config!$B$7,IF(Config!$B$8,V49*0.85+W49*0.15,V49*0.95+W49*0.05),V49)</f>
        <v>511.08749999999998</v>
      </c>
      <c r="Y49" s="10">
        <f>_xlfn.CEILING.MATH(X49*0.98)</f>
        <v>501</v>
      </c>
      <c r="Z49" s="11">
        <f>Y49-T49</f>
        <v>-3901.5</v>
      </c>
      <c r="AA49">
        <v>175</v>
      </c>
      <c r="AB49" s="11">
        <f>Z49/AA49</f>
        <v>-22.294285714285714</v>
      </c>
      <c r="AC49" s="12" t="b">
        <v>0</v>
      </c>
      <c r="AD49" s="10">
        <f>IF(AC49,VLOOKUP(A49,Prices!A:D,4,0),VLOOKUP(A49&amp;"(3)",Prices!A:D,4,0)*0.85+VLOOKUP(A49&amp;"(4)",Prices!A:D,4,0)*0.15)</f>
        <v>125.1</v>
      </c>
      <c r="AE49" s="33">
        <v>78</v>
      </c>
    </row>
    <row r="50" spans="1:31" x14ac:dyDescent="0.35">
      <c r="A50" s="22" t="s">
        <v>158</v>
      </c>
      <c r="B50" s="8" t="s">
        <v>105</v>
      </c>
      <c r="C50" s="5" t="s">
        <v>139</v>
      </c>
      <c r="D50" s="6"/>
      <c r="E50" s="7"/>
      <c r="F50" s="31">
        <v>1</v>
      </c>
      <c r="G50" s="5">
        <v>1</v>
      </c>
      <c r="H50" s="6">
        <v>0</v>
      </c>
      <c r="I50" s="36">
        <v>0</v>
      </c>
      <c r="J50" s="44">
        <f>IF(ISBLANK(B50),0,IF(Config!$B$2="low", VLOOKUP(B50,Prices!$A:$C,3,FALSE), VLOOKUP(B50,Prices!$A:$C,2,FALSE))*F50)</f>
        <v>3275</v>
      </c>
      <c r="K50" s="45">
        <f>IF(ISBLANK(C50),0,IF(Config!$B$2="low", IF(C50="Crystal dust", VLOOKUP("Enhanced crystal teleport seed",Prices!$A:$C,3,FALSE)/1500, VLOOKUP(C50,Prices!$A:$C,3,FALSE)), IF(C50="Crystal dust", VLOOKUP("Enhanced crystal teleport seed",Prices!$A:$C,2,FALSE)/1500, VLOOKUP(C50,Prices!$A:$C,2,FALSE)))*G50)</f>
        <v>79</v>
      </c>
      <c r="L50" s="42">
        <f>IF(ISBLANK(D50),0,IF(Config!$B$2="low", IF(D50="Crystal dust", VLOOKUP("Enhanced crystal teleport seed",Prices!$A:$C,3,FALSE)/1500, VLOOKUP(D50,Prices!$A:$C,3,FALSE)), IF(D50="Crystal dust", VLOOKUP("Enhanced crystal teleport seed",Prices!$A:$C,2,FALSE)/1500, VLOOKUP(D50,Prices!$A:$C,2,FALSE)))*H50)</f>
        <v>0</v>
      </c>
      <c r="M50" s="43">
        <f>IF(ISBLANK(E50),0,IF(Config!$B$2="low", IF(E50="Crystal dust", VLOOKUP("Enhanced crystal teleport seed",Prices!$A:$C,3,FALSE)/1500, VLOOKUP(E50,Prices!$A:$C,3,FALSE)), IF(E50="Crystal dust", VLOOKUP("Enhanced crystal teleport seed",Prices!$A:$C,2,FALSE)/1500, VLOOKUP(E50,Prices!$A:$C,2,FALSE)))*I50)</f>
        <v>0</v>
      </c>
      <c r="N50" s="41">
        <f>IF(OR(C50="Ashes",C50="Crystal dust"),K50,K50*0.9)</f>
        <v>71.100000000000009</v>
      </c>
      <c r="O50" s="42">
        <f>IF(OR(D50="Ashes",D50="Crystal dust"),L50,L50*0.9)</f>
        <v>0</v>
      </c>
      <c r="P50" s="43">
        <f>IF(OR(E50="Ashes",E50="Crystal dust"),M50,M50*0.9)</f>
        <v>0</v>
      </c>
      <c r="Q50" s="10">
        <f>IFERROR(VLOOKUP("Amulet of chemistry",Prices!$A:$C,2,FALSE),"")</f>
        <v>1300</v>
      </c>
      <c r="R50" s="9">
        <f>IF(Config!$B$8,Q50/10,Q50/5)</f>
        <v>130</v>
      </c>
      <c r="S50" s="9">
        <f>IF(Config!$B$8,R50*0.15,R50*0.05)</f>
        <v>19.5</v>
      </c>
      <c r="T50" s="9">
        <f>J50+IF(Config!$B$6,SUM(N50,P50),SUM(K50:M50))+IF(Config!$B$7,S50,0)</f>
        <v>3365.6</v>
      </c>
      <c r="U50" s="10">
        <f>IF(Config!$B$3="low",IF($AC50,VLOOKUP($A50,Prices!$A:$C,3,FALSE),VLOOKUP($A50&amp;"(3)",Prices!$A:$C,3,FALSE)),IF($AC50,VLOOKUP($A50,Prices!$A:$C,2,FALSE),VLOOKUP($A50&amp;"(3)",Prices!$A:$C,2,FALSE)))</f>
        <v>131</v>
      </c>
      <c r="V50" s="10">
        <f>IF(Config!$B$9,W50*3/4,U50)</f>
        <v>98.25</v>
      </c>
      <c r="W50" s="10">
        <f>IF(Config!$B$3="low",IF($AC50,VLOOKUP($A50,Prices!$A:$C,3,FALSE),VLOOKUP($A50&amp;"(4)",Prices!$A:$C,3,FALSE)),IF($AC50,VLOOKUP($A50,Prices!$A:$C,2,FALSE),VLOOKUP($A50&amp;"(4)",Prices!$A:$C,2,FALSE)))</f>
        <v>131</v>
      </c>
      <c r="X50" s="10">
        <f>IF(Config!$B$7,IF(Config!$B$8,V50*0.85+W50*0.15,V50*0.95+W50*0.05),V50)</f>
        <v>103.16249999999999</v>
      </c>
      <c r="Y50" s="10">
        <f>_xlfn.CEILING.MATH(X50*0.98)</f>
        <v>102</v>
      </c>
      <c r="Z50" s="11">
        <f>Y50-T50</f>
        <v>-3263.6</v>
      </c>
      <c r="AA50">
        <v>137.5</v>
      </c>
      <c r="AB50" s="11">
        <f>Z50/AA50</f>
        <v>-23.735272727272726</v>
      </c>
      <c r="AC50" s="12" t="b">
        <v>1</v>
      </c>
      <c r="AD50" s="10">
        <f>IF(AC50,VLOOKUP(A50,Prices!A:D,4,0),VLOOKUP(A50&amp;"(3)",Prices!A:D,4,0)*0.85+VLOOKUP(A50&amp;"(4)",Prices!A:D,4,0)*0.15)</f>
        <v>16</v>
      </c>
      <c r="AE50" s="33">
        <v>60</v>
      </c>
    </row>
    <row r="51" spans="1:31" x14ac:dyDescent="0.35">
      <c r="A51" s="22" t="s">
        <v>94</v>
      </c>
      <c r="B51" s="8" t="s">
        <v>95</v>
      </c>
      <c r="C51" s="5" t="s">
        <v>80</v>
      </c>
      <c r="D51" s="6"/>
      <c r="E51" s="7"/>
      <c r="F51" s="31">
        <v>1</v>
      </c>
      <c r="G51" s="5">
        <v>4</v>
      </c>
      <c r="H51" s="6">
        <v>0</v>
      </c>
      <c r="I51" s="36">
        <v>0</v>
      </c>
      <c r="J51" s="44">
        <f>IF(ISBLANK(B51),0,IF(Config!$B$2="low", VLOOKUP(B51,Prices!$A:$C,3,FALSE), VLOOKUP(B51,Prices!$A:$C,2,FALSE))*F51)</f>
        <v>4972</v>
      </c>
      <c r="K51" s="45">
        <f>IF(ISBLANK(C51),0,IF(Config!$B$2="low", IF(C51="Crystal dust", VLOOKUP("Enhanced crystal teleport seed",Prices!$A:$C,3,FALSE)/1500, VLOOKUP(C51,Prices!$A:$C,3,FALSE)), IF(C51="Crystal dust", VLOOKUP("Enhanced crystal teleport seed",Prices!$A:$C,2,FALSE)/1500, VLOOKUP(C51,Prices!$A:$C,2,FALSE)))*G51)</f>
        <v>7848</v>
      </c>
      <c r="L51" s="42">
        <f>IF(ISBLANK(D51),0,IF(Config!$B$2="low", IF(D51="Crystal dust", VLOOKUP("Enhanced crystal teleport seed",Prices!$A:$C,3,FALSE)/1500, VLOOKUP(D51,Prices!$A:$C,3,FALSE)), IF(D51="Crystal dust", VLOOKUP("Enhanced crystal teleport seed",Prices!$A:$C,2,FALSE)/1500, VLOOKUP(D51,Prices!$A:$C,2,FALSE)))*H51)</f>
        <v>0</v>
      </c>
      <c r="M51" s="43">
        <f>IF(ISBLANK(E51),0,IF(Config!$B$2="low", IF(E51="Crystal dust", VLOOKUP("Enhanced crystal teleport seed",Prices!$A:$C,3,FALSE)/1500, VLOOKUP(E51,Prices!$A:$C,3,FALSE)), IF(E51="Crystal dust", VLOOKUP("Enhanced crystal teleport seed",Prices!$A:$C,2,FALSE)/1500, VLOOKUP(E51,Prices!$A:$C,2,FALSE)))*I51)</f>
        <v>0</v>
      </c>
      <c r="N51" s="41">
        <f>IF(OR(C51="Ashes",C51="Crystal dust"),K51,K51*0.9)</f>
        <v>7063.2</v>
      </c>
      <c r="O51" s="42">
        <f>IF(OR(D51="Ashes",D51="Crystal dust"),L51,L51*0.9)</f>
        <v>0</v>
      </c>
      <c r="P51" s="43">
        <f>IF(OR(E51="Ashes",E51="Crystal dust"),M51,M51*0.9)</f>
        <v>0</v>
      </c>
      <c r="Q51" s="10">
        <f>IFERROR(VLOOKUP("Amulet of chemistry",Prices!$A:$C,2,FALSE),"")</f>
        <v>1300</v>
      </c>
      <c r="R51" s="9">
        <f>IF(Config!$B$8,Q51/10,Q51/5)</f>
        <v>130</v>
      </c>
      <c r="S51" s="9">
        <f>IF(Config!$B$8,R51*0.15,R51*0.05)</f>
        <v>19.5</v>
      </c>
      <c r="T51" s="9">
        <f>J51+IF(Config!$B$6,SUM(N51,P51),SUM(K51:M51))+IF(Config!$B$7,S51,0)</f>
        <v>12054.7</v>
      </c>
      <c r="U51" s="10">
        <f>IF(Config!$B$3="low",IF($AC51,VLOOKUP($A51,Prices!$A:$C,3,FALSE),VLOOKUP($A51&amp;"(3)",Prices!$A:$C,3,FALSE)),IF($AC51,VLOOKUP($A51,Prices!$A:$C,2,FALSE),VLOOKUP($A51&amp;"(3)",Prices!$A:$C,2,FALSE)))</f>
        <v>12000</v>
      </c>
      <c r="V51" s="10">
        <f>IF(Config!$B$9,W51*3/4,U51)</f>
        <v>9000</v>
      </c>
      <c r="W51" s="10">
        <f>IF(Config!$B$3="low",IF($AC51,VLOOKUP($A51,Prices!$A:$C,3,FALSE),VLOOKUP($A51&amp;"(4)",Prices!$A:$C,3,FALSE)),IF($AC51,VLOOKUP($A51,Prices!$A:$C,2,FALSE),VLOOKUP($A51&amp;"(4)",Prices!$A:$C,2,FALSE)))</f>
        <v>12000</v>
      </c>
      <c r="X51" s="10">
        <f>IF(Config!$B$7,IF(Config!$B$8,V51*0.85+W51*0.15,V51*0.95+W51*0.05),V51)</f>
        <v>9450</v>
      </c>
      <c r="Y51" s="10">
        <f>_xlfn.CEILING.MATH(X51*0.98)</f>
        <v>9261</v>
      </c>
      <c r="Z51" s="11">
        <f>Y51-T51</f>
        <v>-2793.7000000000007</v>
      </c>
      <c r="AA51">
        <v>110</v>
      </c>
      <c r="AB51" s="11">
        <f>Z51/AA51</f>
        <v>-25.397272727272735</v>
      </c>
      <c r="AC51" s="12" t="b">
        <v>1</v>
      </c>
      <c r="AD51" s="10">
        <f>IF(AC51,VLOOKUP(A51,Prices!A:D,4,0),VLOOKUP(A51&amp;"(3)",Prices!A:D,4,0)*0.85+VLOOKUP(A51&amp;"(4)",Prices!A:D,4,0)*0.15)</f>
        <v>3318</v>
      </c>
      <c r="AE51" s="33">
        <v>85</v>
      </c>
    </row>
    <row r="52" spans="1:31" x14ac:dyDescent="0.35">
      <c r="A52" s="22" t="s">
        <v>60</v>
      </c>
      <c r="B52" s="8" t="s">
        <v>111</v>
      </c>
      <c r="C52" s="5" t="s">
        <v>112</v>
      </c>
      <c r="D52" s="6"/>
      <c r="E52" s="7"/>
      <c r="F52" s="31">
        <v>1</v>
      </c>
      <c r="G52" s="5">
        <v>1</v>
      </c>
      <c r="H52" s="6">
        <v>0</v>
      </c>
      <c r="I52" s="36">
        <v>0</v>
      </c>
      <c r="J52" s="44">
        <f>IF(ISBLANK(B52),0,IF(Config!$B$2="low", VLOOKUP(B52,Prices!$A:$C,3,FALSE), VLOOKUP(B52,Prices!$A:$C,2,FALSE))*F52)</f>
        <v>1569</v>
      </c>
      <c r="K52" s="45">
        <f>IF(ISBLANK(C52),0,IF(Config!$B$2="low", IF(C52="Crystal dust", VLOOKUP("Enhanced crystal teleport seed",Prices!$A:$C,3,FALSE)/1500, VLOOKUP(C52,Prices!$A:$C,3,FALSE)), IF(C52="Crystal dust", VLOOKUP("Enhanced crystal teleport seed",Prices!$A:$C,2,FALSE)/1500, VLOOKUP(C52,Prices!$A:$C,2,FALSE)))*G52)</f>
        <v>25100</v>
      </c>
      <c r="L52" s="42">
        <f>IF(ISBLANK(D52),0,IF(Config!$B$2="low", IF(D52="Crystal dust", VLOOKUP("Enhanced crystal teleport seed",Prices!$A:$C,3,FALSE)/1500, VLOOKUP(D52,Prices!$A:$C,3,FALSE)), IF(D52="Crystal dust", VLOOKUP("Enhanced crystal teleport seed",Prices!$A:$C,2,FALSE)/1500, VLOOKUP(D52,Prices!$A:$C,2,FALSE)))*H52)</f>
        <v>0</v>
      </c>
      <c r="M52" s="43">
        <f>IF(ISBLANK(E52),0,IF(Config!$B$2="low", IF(E52="Crystal dust", VLOOKUP("Enhanced crystal teleport seed",Prices!$A:$C,3,FALSE)/1500, VLOOKUP(E52,Prices!$A:$C,3,FALSE)), IF(E52="Crystal dust", VLOOKUP("Enhanced crystal teleport seed",Prices!$A:$C,2,FALSE)/1500, VLOOKUP(E52,Prices!$A:$C,2,FALSE)))*I52)</f>
        <v>0</v>
      </c>
      <c r="N52" s="41">
        <f>IF(OR(C52="Ashes",C52="Crystal dust"),K52,K52*0.9)</f>
        <v>22590</v>
      </c>
      <c r="O52" s="42">
        <f>IF(OR(D52="Ashes",D52="Crystal dust"),L52,L52*0.9)</f>
        <v>0</v>
      </c>
      <c r="P52" s="43">
        <f>IF(OR(E52="Ashes",E52="Crystal dust"),M52,M52*0.9)</f>
        <v>0</v>
      </c>
      <c r="Q52" s="10">
        <f>IFERROR(VLOOKUP("Amulet of chemistry",Prices!$A:$C,2,FALSE),"")</f>
        <v>1300</v>
      </c>
      <c r="R52" s="9">
        <f>IF(Config!$B$8,Q52/10,Q52/5)</f>
        <v>130</v>
      </c>
      <c r="S52" s="9">
        <f>IF(Config!$B$8,R52*0.15,R52*0.05)</f>
        <v>19.5</v>
      </c>
      <c r="T52" s="9">
        <f>J52+IF(Config!$B$6,SUM(N52,P52),SUM(K52:M52))+IF(Config!$B$7,S52,0)</f>
        <v>24178.5</v>
      </c>
      <c r="U52" s="10">
        <f>IF(Config!$B$3="low",IF($AC52,VLOOKUP($A52,Prices!$A:$C,3,FALSE),VLOOKUP($A52&amp;"(3)",Prices!$A:$C,3,FALSE)),IF($AC52,VLOOKUP($A52,Prices!$A:$C,2,FALSE),VLOOKUP($A52&amp;"(3)",Prices!$A:$C,2,FALSE)))</f>
        <v>26830</v>
      </c>
      <c r="V52" s="10">
        <f>IF(Config!$B$9,W52*3/4,U52)</f>
        <v>20122.5</v>
      </c>
      <c r="W52" s="10">
        <f>IF(Config!$B$3="low",IF($AC52,VLOOKUP($A52,Prices!$A:$C,3,FALSE),VLOOKUP($A52&amp;"(4)",Prices!$A:$C,3,FALSE)),IF($AC52,VLOOKUP($A52,Prices!$A:$C,2,FALSE),VLOOKUP($A52&amp;"(4)",Prices!$A:$C,2,FALSE)))</f>
        <v>26830</v>
      </c>
      <c r="X52" s="10">
        <f>IF(Config!$B$7,IF(Config!$B$8,V52*0.85+W52*0.15,V52*0.95+W52*0.05),V52)</f>
        <v>21128.625</v>
      </c>
      <c r="Y52" s="10">
        <f>_xlfn.CEILING.MATH(X52*0.98)</f>
        <v>20707</v>
      </c>
      <c r="Z52" s="11">
        <f>Y52-T52</f>
        <v>-3471.5</v>
      </c>
      <c r="AA52">
        <v>130</v>
      </c>
      <c r="AB52" s="11">
        <f>Z52/AA52</f>
        <v>-26.703846153846154</v>
      </c>
      <c r="AC52" s="12" t="b">
        <v>1</v>
      </c>
      <c r="AD52" s="10">
        <f>IF(AC52,VLOOKUP(A52,Prices!A:D,4,0),VLOOKUP(A52&amp;"(3)",Prices!A:D,4,0)*0.85+VLOOKUP(A52&amp;"(4)",Prices!A:D,4,0)*0.15)</f>
        <v>2435</v>
      </c>
      <c r="AE52" s="33">
        <v>92</v>
      </c>
    </row>
    <row r="53" spans="1:31" x14ac:dyDescent="0.35">
      <c r="A53" s="22" t="s">
        <v>129</v>
      </c>
      <c r="B53" s="8" t="s">
        <v>97</v>
      </c>
      <c r="C53" s="5" t="s">
        <v>130</v>
      </c>
      <c r="D53" s="6"/>
      <c r="E53" s="7"/>
      <c r="F53" s="31">
        <v>1</v>
      </c>
      <c r="G53" s="5">
        <v>3</v>
      </c>
      <c r="H53" s="6">
        <v>0</v>
      </c>
      <c r="I53" s="36">
        <v>0</v>
      </c>
      <c r="J53" s="44">
        <f>IF(ISBLANK(B53),0,IF(Config!$B$2="low", VLOOKUP(B53,Prices!$A:$C,3,FALSE), VLOOKUP(B53,Prices!$A:$C,2,FALSE))*F53)</f>
        <v>2364</v>
      </c>
      <c r="K53" s="45">
        <f>IF(ISBLANK(C53),0,IF(Config!$B$2="low", IF(C53="Crystal dust", VLOOKUP("Enhanced crystal teleport seed",Prices!$A:$C,3,FALSE)/1500, VLOOKUP(C53,Prices!$A:$C,3,FALSE)), IF(C53="Crystal dust", VLOOKUP("Enhanced crystal teleport seed",Prices!$A:$C,2,FALSE)/1500, VLOOKUP(C53,Prices!$A:$C,2,FALSE)))*G53)</f>
        <v>675</v>
      </c>
      <c r="L53" s="42">
        <f>IF(ISBLANK(D53),0,IF(Config!$B$2="low", IF(D53="Crystal dust", VLOOKUP("Enhanced crystal teleport seed",Prices!$A:$C,3,FALSE)/1500, VLOOKUP(D53,Prices!$A:$C,3,FALSE)), IF(D53="Crystal dust", VLOOKUP("Enhanced crystal teleport seed",Prices!$A:$C,2,FALSE)/1500, VLOOKUP(D53,Prices!$A:$C,2,FALSE)))*H53)</f>
        <v>0</v>
      </c>
      <c r="M53" s="43">
        <f>IF(ISBLANK(E53),0,IF(Config!$B$2="low", IF(E53="Crystal dust", VLOOKUP("Enhanced crystal teleport seed",Prices!$A:$C,3,FALSE)/1500, VLOOKUP(E53,Prices!$A:$C,3,FALSE)), IF(E53="Crystal dust", VLOOKUP("Enhanced crystal teleport seed",Prices!$A:$C,2,FALSE)/1500, VLOOKUP(E53,Prices!$A:$C,2,FALSE)))*I53)</f>
        <v>0</v>
      </c>
      <c r="N53" s="41">
        <f>IF(OR(C53="Ashes",C53="Crystal dust"),K53,K53*0.9)</f>
        <v>607.5</v>
      </c>
      <c r="O53" s="42">
        <f>IF(OR(D53="Ashes",D53="Crystal dust"),L53,L53*0.9)</f>
        <v>0</v>
      </c>
      <c r="P53" s="43">
        <f>IF(OR(E53="Ashes",E53="Crystal dust"),M53,M53*0.9)</f>
        <v>0</v>
      </c>
      <c r="Q53" s="10">
        <f>IFERROR(VLOOKUP("Amulet of chemistry",Prices!$A:$C,2,FALSE),"")</f>
        <v>1300</v>
      </c>
      <c r="R53" s="9">
        <f>IF(Config!$B$8,Q53/10,Q53/5)</f>
        <v>130</v>
      </c>
      <c r="S53" s="9">
        <f>IF(Config!$B$8,R53*0.15,R53*0.05)</f>
        <v>19.5</v>
      </c>
      <c r="T53" s="9">
        <f>J53+IF(Config!$B$6,SUM(N53,P53),SUM(K53:M53))+IF(Config!$B$7,S53,0)</f>
        <v>2991</v>
      </c>
      <c r="U53" s="10">
        <f>IF(Config!$B$3="low",IF($AC53,VLOOKUP($A53,Prices!$A:$C,3,FALSE),VLOOKUP($A53&amp;"(3)",Prices!$A:$C,3,FALSE)),IF($AC53,VLOOKUP($A53,Prices!$A:$C,2,FALSE),VLOOKUP($A53&amp;"(3)",Prices!$A:$C,2,FALSE)))</f>
        <v>1025</v>
      </c>
      <c r="V53" s="10">
        <f>IF(Config!$B$9,W53*3/4,U53)</f>
        <v>1212.75</v>
      </c>
      <c r="W53" s="10">
        <f>IF(Config!$B$3="low",IF($AC53,VLOOKUP($A53,Prices!$A:$C,3,FALSE),VLOOKUP($A53&amp;"(4)",Prices!$A:$C,3,FALSE)),IF($AC53,VLOOKUP($A53,Prices!$A:$C,2,FALSE),VLOOKUP($A53&amp;"(4)",Prices!$A:$C,2,FALSE)))</f>
        <v>1617</v>
      </c>
      <c r="X53" s="10">
        <f>IF(Config!$B$7,IF(Config!$B$8,V53*0.85+W53*0.15,V53*0.95+W53*0.05),V53)</f>
        <v>1273.3874999999998</v>
      </c>
      <c r="Y53" s="10">
        <f>_xlfn.CEILING.MATH(X53*0.98)</f>
        <v>1248</v>
      </c>
      <c r="Z53" s="11">
        <f>Y53-T53</f>
        <v>-1743</v>
      </c>
      <c r="AA53">
        <v>63</v>
      </c>
      <c r="AB53" s="11">
        <f>Z53/AA53</f>
        <v>-27.666666666666668</v>
      </c>
      <c r="AC53" s="12" t="b">
        <v>0</v>
      </c>
      <c r="AD53" s="10">
        <f>IF(AC53,VLOOKUP(A53,Prices!A:D,4,0),VLOOKUP(A53&amp;"(3)",Prices!A:D,4,0)*0.85+VLOOKUP(A53&amp;"(4)",Prices!A:D,4,0)*0.15)</f>
        <v>50.699999999999996</v>
      </c>
      <c r="AE53" s="33">
        <v>66</v>
      </c>
    </row>
    <row r="54" spans="1:31" x14ac:dyDescent="0.35">
      <c r="A54" s="22" t="s">
        <v>175</v>
      </c>
      <c r="B54" s="8" t="s">
        <v>109</v>
      </c>
      <c r="C54" s="5" t="s">
        <v>75</v>
      </c>
      <c r="D54" s="6"/>
      <c r="E54" s="7"/>
      <c r="F54" s="31">
        <v>1</v>
      </c>
      <c r="G54" s="5">
        <v>1</v>
      </c>
      <c r="H54" s="6">
        <v>0</v>
      </c>
      <c r="I54" s="36">
        <v>0</v>
      </c>
      <c r="J54" s="44">
        <f>IF(ISBLANK(B54),0,IF(Config!$B$2="low", VLOOKUP(B54,Prices!$A:$C,3,FALSE), VLOOKUP(B54,Prices!$A:$C,2,FALSE))*F54)</f>
        <v>2671</v>
      </c>
      <c r="K54" s="45">
        <f>IF(ISBLANK(C54),0,IF(Config!$B$2="low", IF(C54="Crystal dust", VLOOKUP("Enhanced crystal teleport seed",Prices!$A:$C,3,FALSE)/1500, VLOOKUP(C54,Prices!$A:$C,3,FALSE)), IF(C54="Crystal dust", VLOOKUP("Enhanced crystal teleport seed",Prices!$A:$C,2,FALSE)/1500, VLOOKUP(C54,Prices!$A:$C,2,FALSE)))*G54)</f>
        <v>547</v>
      </c>
      <c r="L54" s="42">
        <f>IF(ISBLANK(D54),0,IF(Config!$B$2="low", IF(D54="Crystal dust", VLOOKUP("Enhanced crystal teleport seed",Prices!$A:$C,3,FALSE)/1500, VLOOKUP(D54,Prices!$A:$C,3,FALSE)), IF(D54="Crystal dust", VLOOKUP("Enhanced crystal teleport seed",Prices!$A:$C,2,FALSE)/1500, VLOOKUP(D54,Prices!$A:$C,2,FALSE)))*H54)</f>
        <v>0</v>
      </c>
      <c r="M54" s="43">
        <f>IF(ISBLANK(E54),0,IF(Config!$B$2="low", IF(E54="Crystal dust", VLOOKUP("Enhanced crystal teleport seed",Prices!$A:$C,3,FALSE)/1500, VLOOKUP(E54,Prices!$A:$C,3,FALSE)), IF(E54="Crystal dust", VLOOKUP("Enhanced crystal teleport seed",Prices!$A:$C,2,FALSE)/1500, VLOOKUP(E54,Prices!$A:$C,2,FALSE)))*I54)</f>
        <v>0</v>
      </c>
      <c r="N54" s="41">
        <f>IF(OR(C54="Ashes",C54="Crystal dust"),K54,K54*0.9)</f>
        <v>492.3</v>
      </c>
      <c r="O54" s="42">
        <f>IF(OR(D54="Ashes",D54="Crystal dust"),L54,L54*0.9)</f>
        <v>0</v>
      </c>
      <c r="P54" s="43">
        <f>IF(OR(E54="Ashes",E54="Crystal dust"),M54,M54*0.9)</f>
        <v>0</v>
      </c>
      <c r="Q54" s="10">
        <f>IFERROR(VLOOKUP("Amulet of chemistry",Prices!$A:$C,2,FALSE),"")</f>
        <v>1300</v>
      </c>
      <c r="R54" s="9">
        <f>IF(Config!$B$8,Q54/10,Q54/5)</f>
        <v>130</v>
      </c>
      <c r="S54" s="9">
        <f>IF(Config!$B$8,R54*0.15,R54*0.05)</f>
        <v>19.5</v>
      </c>
      <c r="T54" s="9">
        <f>J54+IF(Config!$B$6,SUM(N54,P54),SUM(K54:M54))+IF(Config!$B$7,S54,0)</f>
        <v>3182.8</v>
      </c>
      <c r="U54" s="10">
        <f>IF(Config!$B$3="low",IF($AC54,VLOOKUP($A54,Prices!$A:$C,3,FALSE),VLOOKUP($A54&amp;"(3)",Prices!$A:$C,3,FALSE)),IF($AC54,VLOOKUP($A54,Prices!$A:$C,2,FALSE),VLOOKUP($A54&amp;"(3)",Prices!$A:$C,2,FALSE)))</f>
        <v>10</v>
      </c>
      <c r="V54" s="10">
        <f>IF(Config!$B$9,W54*3/4,U54)</f>
        <v>24.75</v>
      </c>
      <c r="W54" s="10">
        <f>IF(Config!$B$3="low",IF($AC54,VLOOKUP($A54,Prices!$A:$C,3,FALSE),VLOOKUP($A54&amp;"(4)",Prices!$A:$C,3,FALSE)),IF($AC54,VLOOKUP($A54,Prices!$A:$C,2,FALSE),VLOOKUP($A54&amp;"(4)",Prices!$A:$C,2,FALSE)))</f>
        <v>33</v>
      </c>
      <c r="X54" s="10">
        <f>IF(Config!$B$7,IF(Config!$B$8,V54*0.85+W54*0.15,V54*0.95+W54*0.05),V54)</f>
        <v>25.987499999999997</v>
      </c>
      <c r="Y54" s="10">
        <f>_xlfn.CEILING.MATH(X54*0.98)</f>
        <v>26</v>
      </c>
      <c r="Z54" s="11">
        <f>Y54-T54</f>
        <v>-3156.8</v>
      </c>
      <c r="AA54">
        <v>112.5</v>
      </c>
      <c r="AB54" s="11">
        <f>Z54/AA54</f>
        <v>-28.060444444444446</v>
      </c>
      <c r="AC54" s="12" t="b">
        <v>0</v>
      </c>
      <c r="AD54" s="10">
        <f>IF(AC54,VLOOKUP(A54,Prices!A:D,4,0),VLOOKUP(A54&amp;"(3)",Prices!A:D,4,0)*0.85+VLOOKUP(A54&amp;"(4)",Prices!A:D,4,0)*0.15)</f>
        <v>1.75</v>
      </c>
      <c r="AE54" s="33">
        <v>50</v>
      </c>
    </row>
    <row r="55" spans="1:31" x14ac:dyDescent="0.35">
      <c r="A55" s="22" t="s">
        <v>87</v>
      </c>
      <c r="B55" s="8" t="s">
        <v>107</v>
      </c>
      <c r="C55" s="5" t="s">
        <v>93</v>
      </c>
      <c r="D55" s="6"/>
      <c r="E55" s="7"/>
      <c r="F55" s="31">
        <v>1</v>
      </c>
      <c r="G55" s="5">
        <v>20</v>
      </c>
      <c r="H55" s="6">
        <v>0</v>
      </c>
      <c r="I55" s="36">
        <v>0</v>
      </c>
      <c r="J55" s="44">
        <f>IF(ISBLANK(B55),0,IF(Config!$B$2="low", VLOOKUP(B55,Prices!$A:$C,3,FALSE), VLOOKUP(B55,Prices!$A:$C,2,FALSE))*F55)</f>
        <v>4910</v>
      </c>
      <c r="K55" s="45">
        <f>IF(ISBLANK(C55),0,IF(Config!$B$2="low", IF(C55="Crystal dust", VLOOKUP("Enhanced crystal teleport seed",Prices!$A:$C,3,FALSE)/1500, VLOOKUP(C55,Prices!$A:$C,3,FALSE)), IF(C55="Crystal dust", VLOOKUP("Enhanced crystal teleport seed",Prices!$A:$C,2,FALSE)/1500, VLOOKUP(C55,Prices!$A:$C,2,FALSE)))*G55)</f>
        <v>3640</v>
      </c>
      <c r="L55" s="42">
        <f>IF(ISBLANK(D55),0,IF(Config!$B$2="low", IF(D55="Crystal dust", VLOOKUP("Enhanced crystal teleport seed",Prices!$A:$C,3,FALSE)/1500, VLOOKUP(D55,Prices!$A:$C,3,FALSE)), IF(D55="Crystal dust", VLOOKUP("Enhanced crystal teleport seed",Prices!$A:$C,2,FALSE)/1500, VLOOKUP(D55,Prices!$A:$C,2,FALSE)))*H55)</f>
        <v>0</v>
      </c>
      <c r="M55" s="43">
        <f>IF(ISBLANK(E55),0,IF(Config!$B$2="low", IF(E55="Crystal dust", VLOOKUP("Enhanced crystal teleport seed",Prices!$A:$C,3,FALSE)/1500, VLOOKUP(E55,Prices!$A:$C,3,FALSE)), IF(E55="Crystal dust", VLOOKUP("Enhanced crystal teleport seed",Prices!$A:$C,2,FALSE)/1500, VLOOKUP(E55,Prices!$A:$C,2,FALSE)))*I55)</f>
        <v>0</v>
      </c>
      <c r="N55" s="41">
        <f>IF(OR(C55="Ashes",C55="Crystal dust"),K55,K55*0.9)</f>
        <v>3276</v>
      </c>
      <c r="O55" s="42">
        <f>IF(OR(D55="Ashes",D55="Crystal dust"),L55,L55*0.9)</f>
        <v>0</v>
      </c>
      <c r="P55" s="43">
        <f>IF(OR(E55="Ashes",E55="Crystal dust"),M55,M55*0.9)</f>
        <v>0</v>
      </c>
      <c r="Q55" s="10">
        <f>IFERROR(VLOOKUP("Amulet of chemistry",Prices!$A:$C,2,FALSE),"")</f>
        <v>1300</v>
      </c>
      <c r="R55" s="9">
        <f>IF(Config!$B$8,Q55/10,Q55/5)</f>
        <v>130</v>
      </c>
      <c r="S55" s="9">
        <f>IF(Config!$B$8,R55*0.15,R55*0.05)</f>
        <v>19.5</v>
      </c>
      <c r="T55" s="9">
        <f>J55+IF(Config!$B$6,SUM(N55,P55),SUM(K55:M55))+IF(Config!$B$7,S55,0)</f>
        <v>8205.5</v>
      </c>
      <c r="U55" s="10">
        <f>IF(Config!$B$3="low",IF($AC55,VLOOKUP($A55,Prices!$A:$C,3,FALSE),VLOOKUP($A55&amp;"(3)",Prices!$A:$C,3,FALSE)),IF($AC55,VLOOKUP($A55,Prices!$A:$C,2,FALSE),VLOOKUP($A55&amp;"(3)",Prices!$A:$C,2,FALSE)))</f>
        <v>6221</v>
      </c>
      <c r="V55" s="10">
        <f>IF(Config!$B$9,W55*3/4,U55)</f>
        <v>4665.75</v>
      </c>
      <c r="W55" s="10">
        <f>IF(Config!$B$3="low",IF($AC55,VLOOKUP($A55,Prices!$A:$C,3,FALSE),VLOOKUP($A55&amp;"(4)",Prices!$A:$C,3,FALSE)),IF($AC55,VLOOKUP($A55,Prices!$A:$C,2,FALSE),VLOOKUP($A55&amp;"(4)",Prices!$A:$C,2,FALSE)))</f>
        <v>6221</v>
      </c>
      <c r="X55" s="10">
        <f>IF(Config!$B$7,IF(Config!$B$8,V55*0.85+W55*0.15,V55*0.95+W55*0.05),V55)</f>
        <v>4899.0374999999995</v>
      </c>
      <c r="Y55" s="10">
        <f>_xlfn.CEILING.MATH(X55*0.98)</f>
        <v>4802</v>
      </c>
      <c r="Z55" s="11">
        <f>Y55-T55</f>
        <v>-3403.5</v>
      </c>
      <c r="AA55">
        <v>120</v>
      </c>
      <c r="AB55" s="11">
        <f>Z55/AA55</f>
        <v>-28.362500000000001</v>
      </c>
      <c r="AC55" s="12" t="b">
        <v>1</v>
      </c>
      <c r="AD55" s="10">
        <f>IF(AC55,VLOOKUP(A55,Prices!A:D,4,0),VLOOKUP(A55&amp;"(3)",Prices!A:D,4,0)*0.85+VLOOKUP(A55&amp;"(4)",Prices!A:D,4,0)*0.15)</f>
        <v>471</v>
      </c>
      <c r="AE55" s="33">
        <v>87</v>
      </c>
    </row>
    <row r="56" spans="1:31" x14ac:dyDescent="0.35">
      <c r="A56" s="22" t="s">
        <v>136</v>
      </c>
      <c r="B56" s="8" t="s">
        <v>120</v>
      </c>
      <c r="C56" s="5" t="s">
        <v>130</v>
      </c>
      <c r="D56" s="6"/>
      <c r="E56" s="7"/>
      <c r="F56" s="31">
        <v>1</v>
      </c>
      <c r="G56" s="5">
        <v>4</v>
      </c>
      <c r="H56" s="6">
        <v>0</v>
      </c>
      <c r="I56" s="36">
        <v>0</v>
      </c>
      <c r="J56" s="44">
        <f>IF(ISBLANK(B56),0,IF(Config!$B$2="low", VLOOKUP(B56,Prices!$A:$C,3,FALSE), VLOOKUP(B56,Prices!$A:$C,2,FALSE))*F56)</f>
        <v>3151</v>
      </c>
      <c r="K56" s="45">
        <f>IF(ISBLANK(C56),0,IF(Config!$B$2="low", IF(C56="Crystal dust", VLOOKUP("Enhanced crystal teleport seed",Prices!$A:$C,3,FALSE)/1500, VLOOKUP(C56,Prices!$A:$C,3,FALSE)), IF(C56="Crystal dust", VLOOKUP("Enhanced crystal teleport seed",Prices!$A:$C,2,FALSE)/1500, VLOOKUP(C56,Prices!$A:$C,2,FALSE)))*G56)</f>
        <v>900</v>
      </c>
      <c r="L56" s="42">
        <f>IF(ISBLANK(D56),0,IF(Config!$B$2="low", IF(D56="Crystal dust", VLOOKUP("Enhanced crystal teleport seed",Prices!$A:$C,3,FALSE)/1500, VLOOKUP(D56,Prices!$A:$C,3,FALSE)), IF(D56="Crystal dust", VLOOKUP("Enhanced crystal teleport seed",Prices!$A:$C,2,FALSE)/1500, VLOOKUP(D56,Prices!$A:$C,2,FALSE)))*H56)</f>
        <v>0</v>
      </c>
      <c r="M56" s="43">
        <f>IF(ISBLANK(E56),0,IF(Config!$B$2="low", IF(E56="Crystal dust", VLOOKUP("Enhanced crystal teleport seed",Prices!$A:$C,3,FALSE)/1500, VLOOKUP(E56,Prices!$A:$C,3,FALSE)), IF(E56="Crystal dust", VLOOKUP("Enhanced crystal teleport seed",Prices!$A:$C,2,FALSE)/1500, VLOOKUP(E56,Prices!$A:$C,2,FALSE)))*I56)</f>
        <v>0</v>
      </c>
      <c r="N56" s="41">
        <f>IF(OR(C56="Ashes",C56="Crystal dust"),K56,K56*0.9)</f>
        <v>810</v>
      </c>
      <c r="O56" s="42">
        <f>IF(OR(D56="Ashes",D56="Crystal dust"),L56,L56*0.9)</f>
        <v>0</v>
      </c>
      <c r="P56" s="43">
        <f>IF(OR(E56="Ashes",E56="Crystal dust"),M56,M56*0.9)</f>
        <v>0</v>
      </c>
      <c r="Q56" s="10">
        <f>IFERROR(VLOOKUP("Amulet of chemistry",Prices!$A:$C,2,FALSE),"")</f>
        <v>1300</v>
      </c>
      <c r="R56" s="9">
        <f>IF(Config!$B$8,Q56/10,Q56/5)</f>
        <v>130</v>
      </c>
      <c r="S56" s="9">
        <f>IF(Config!$B$8,R56*0.15,R56*0.05)</f>
        <v>19.5</v>
      </c>
      <c r="T56" s="9">
        <f>J56+IF(Config!$B$6,SUM(N56,P56),SUM(K56:M56))+IF(Config!$B$7,S56,0)</f>
        <v>3980.5</v>
      </c>
      <c r="U56" s="10">
        <f>IF(Config!$B$3="low",IF($AC56,VLOOKUP($A56,Prices!$A:$C,3,FALSE),VLOOKUP($A56&amp;"(3)",Prices!$A:$C,3,FALSE)),IF($AC56,VLOOKUP($A56,Prices!$A:$C,2,FALSE),VLOOKUP($A56&amp;"(3)",Prices!$A:$C,2,FALSE)))</f>
        <v>1617</v>
      </c>
      <c r="V56" s="10">
        <f>IF(Config!$B$9,W56*3/4,U56)</f>
        <v>1212.75</v>
      </c>
      <c r="W56" s="10">
        <f>IF(Config!$B$3="low",IF($AC56,VLOOKUP($A56,Prices!$A:$C,3,FALSE),VLOOKUP($A56&amp;"(4)",Prices!$A:$C,3,FALSE)),IF($AC56,VLOOKUP($A56,Prices!$A:$C,2,FALSE),VLOOKUP($A56&amp;"(4)",Prices!$A:$C,2,FALSE)))</f>
        <v>1617</v>
      </c>
      <c r="X56" s="10">
        <f>IF(Config!$B$7,IF(Config!$B$8,V56*0.85+W56*0.15,V56*0.95+W56*0.05),V56)</f>
        <v>1273.3874999999998</v>
      </c>
      <c r="Y56" s="10">
        <f>_xlfn.CEILING.MATH(X56*0.98)</f>
        <v>1248</v>
      </c>
      <c r="Z56" s="11">
        <f>Y56-T56</f>
        <v>-2732.5</v>
      </c>
      <c r="AA56">
        <v>84</v>
      </c>
      <c r="AB56" s="11">
        <f>Z56/AA56</f>
        <v>-32.529761904761905</v>
      </c>
      <c r="AC56" s="12" t="b">
        <v>1</v>
      </c>
      <c r="AD56" s="10">
        <f>IF(AC56,VLOOKUP(A56,Prices!A:D,4,0),VLOOKUP(A56&amp;"(3)",Prices!A:D,4,0)*0.85+VLOOKUP(A56&amp;"(4)",Prices!A:D,4,0)*0.15)</f>
        <v>338</v>
      </c>
      <c r="AE56" s="33">
        <v>66</v>
      </c>
    </row>
    <row r="57" spans="1:31" x14ac:dyDescent="0.35">
      <c r="A57" s="22" t="s">
        <v>181</v>
      </c>
      <c r="B57" s="8" t="s">
        <v>135</v>
      </c>
      <c r="C57" s="5" t="s">
        <v>182</v>
      </c>
      <c r="D57" s="6"/>
      <c r="E57" s="7"/>
      <c r="F57" s="31">
        <v>1</v>
      </c>
      <c r="G57" s="5">
        <v>1</v>
      </c>
      <c r="H57" s="6">
        <v>0</v>
      </c>
      <c r="I57" s="36">
        <v>0</v>
      </c>
      <c r="J57" s="44">
        <f>IF(ISBLANK(B57),0,IF(Config!$B$2="low", VLOOKUP(B57,Prices!$A:$C,3,FALSE), VLOOKUP(B57,Prices!$A:$C,2,FALSE))*F57)</f>
        <v>2446</v>
      </c>
      <c r="K57" s="45">
        <f>IF(ISBLANK(C57),0,IF(Config!$B$2="low", IF(C57="Crystal dust", VLOOKUP("Enhanced crystal teleport seed",Prices!$A:$C,3,FALSE)/1500, VLOOKUP(C57,Prices!$A:$C,3,FALSE)), IF(C57="Crystal dust", VLOOKUP("Enhanced crystal teleport seed",Prices!$A:$C,2,FALSE)/1500, VLOOKUP(C57,Prices!$A:$C,2,FALSE)))*G57)</f>
        <v>7439</v>
      </c>
      <c r="L57" s="42">
        <f>IF(ISBLANK(D57),0,IF(Config!$B$2="low", IF(D57="Crystal dust", VLOOKUP("Enhanced crystal teleport seed",Prices!$A:$C,3,FALSE)/1500, VLOOKUP(D57,Prices!$A:$C,3,FALSE)), IF(D57="Crystal dust", VLOOKUP("Enhanced crystal teleport seed",Prices!$A:$C,2,FALSE)/1500, VLOOKUP(D57,Prices!$A:$C,2,FALSE)))*H57)</f>
        <v>0</v>
      </c>
      <c r="M57" s="43">
        <f>IF(ISBLANK(E57),0,IF(Config!$B$2="low", IF(E57="Crystal dust", VLOOKUP("Enhanced crystal teleport seed",Prices!$A:$C,3,FALSE)/1500, VLOOKUP(E57,Prices!$A:$C,3,FALSE)), IF(E57="Crystal dust", VLOOKUP("Enhanced crystal teleport seed",Prices!$A:$C,2,FALSE)/1500, VLOOKUP(E57,Prices!$A:$C,2,FALSE)))*I57)</f>
        <v>0</v>
      </c>
      <c r="N57" s="41">
        <f>IF(OR(C57="Ashes",C57="Crystal dust"),K57,K57*0.9)</f>
        <v>6695.1</v>
      </c>
      <c r="O57" s="42">
        <f>IF(OR(D57="Ashes",D57="Crystal dust"),L57,L57*0.9)</f>
        <v>0</v>
      </c>
      <c r="P57" s="43">
        <f>IF(OR(E57="Ashes",E57="Crystal dust"),M57,M57*0.9)</f>
        <v>0</v>
      </c>
      <c r="Q57" s="10">
        <f>IFERROR(VLOOKUP("Amulet of chemistry",Prices!$A:$C,2,FALSE),"")</f>
        <v>1300</v>
      </c>
      <c r="R57" s="9">
        <f>IF(Config!$B$8,Q57/10,Q57/5)</f>
        <v>130</v>
      </c>
      <c r="S57" s="9">
        <f>IF(Config!$B$8,R57*0.15,R57*0.05)</f>
        <v>19.5</v>
      </c>
      <c r="T57" s="9">
        <f>J57+IF(Config!$B$6,SUM(N57,P57),SUM(K57:M57))+IF(Config!$B$7,S57,0)</f>
        <v>9160.6</v>
      </c>
      <c r="U57" s="10">
        <f>IF(Config!$B$3="low",IF($AC57,VLOOKUP($A57,Prices!$A:$C,3,FALSE),VLOOKUP($A57&amp;"(3)",Prices!$A:$C,3,FALSE)),IF($AC57,VLOOKUP($A57,Prices!$A:$C,2,FALSE),VLOOKUP($A57&amp;"(3)",Prices!$A:$C,2,FALSE)))</f>
        <v>2679</v>
      </c>
      <c r="V57" s="10">
        <f>IF(Config!$B$9,W57*3/4,U57)</f>
        <v>2691.75</v>
      </c>
      <c r="W57" s="10">
        <f>IF(Config!$B$3="low",IF($AC57,VLOOKUP($A57,Prices!$A:$C,3,FALSE),VLOOKUP($A57&amp;"(4)",Prices!$A:$C,3,FALSE)),IF($AC57,VLOOKUP($A57,Prices!$A:$C,2,FALSE),VLOOKUP($A57&amp;"(4)",Prices!$A:$C,2,FALSE)))</f>
        <v>3589</v>
      </c>
      <c r="X57" s="10">
        <f>IF(Config!$B$7,IF(Config!$B$8,V57*0.85+W57*0.15,V57*0.95+W57*0.05),V57)</f>
        <v>2826.3374999999996</v>
      </c>
      <c r="Y57" s="10">
        <f>_xlfn.CEILING.MATH(X57*0.98)</f>
        <v>2770</v>
      </c>
      <c r="Z57" s="11">
        <f>Y57-T57</f>
        <v>-6390.6</v>
      </c>
      <c r="AA57">
        <v>190</v>
      </c>
      <c r="AB57" s="11">
        <f>Z57/AA57</f>
        <v>-33.634736842105262</v>
      </c>
      <c r="AC57" s="12" t="b">
        <v>0</v>
      </c>
      <c r="AD57" s="10">
        <f>IF(AC57,VLOOKUP(A57,Prices!A:D,4,0),VLOOKUP(A57&amp;"(3)",Prices!A:D,4,0)*0.85+VLOOKUP(A57&amp;"(4)",Prices!A:D,4,0)*0.15)</f>
        <v>212.64999999999998</v>
      </c>
      <c r="AE57" s="33">
        <v>85</v>
      </c>
    </row>
    <row r="58" spans="1:31" x14ac:dyDescent="0.35">
      <c r="A58" s="22" t="s">
        <v>161</v>
      </c>
      <c r="B58" s="47" t="s">
        <v>125</v>
      </c>
      <c r="C58" s="5" t="s">
        <v>162</v>
      </c>
      <c r="D58" s="6"/>
      <c r="E58" s="7"/>
      <c r="F58" s="31">
        <v>1</v>
      </c>
      <c r="G58" s="5">
        <v>1</v>
      </c>
      <c r="H58" s="6">
        <v>0</v>
      </c>
      <c r="I58" s="36">
        <v>0</v>
      </c>
      <c r="J58" s="44">
        <f>IF(ISBLANK(B58),0,IF(Config!$B$2="low", VLOOKUP(B58,Prices!$A:$C,3,FALSE), VLOOKUP(B58,Prices!$A:$C,2,FALSE))*F58)</f>
        <v>3210</v>
      </c>
      <c r="K58" s="45">
        <f>IF(ISBLANK(C58),0,IF(Config!$B$2="low", IF(C58="Crystal dust", VLOOKUP("Enhanced crystal teleport seed",Prices!$A:$C,3,FALSE)/1500, VLOOKUP(C58,Prices!$A:$C,3,FALSE)), IF(C58="Crystal dust", VLOOKUP("Enhanced crystal teleport seed",Prices!$A:$C,2,FALSE)/1500, VLOOKUP(C58,Prices!$A:$C,2,FALSE)))*G58)</f>
        <v>351</v>
      </c>
      <c r="L58" s="42">
        <f>IF(ISBLANK(D58),0,IF(Config!$B$2="low", IF(D58="Crystal dust", VLOOKUP("Enhanced crystal teleport seed",Prices!$A:$C,3,FALSE)/1500, VLOOKUP(D58,Prices!$A:$C,3,FALSE)), IF(D58="Crystal dust", VLOOKUP("Enhanced crystal teleport seed",Prices!$A:$C,2,FALSE)/1500, VLOOKUP(D58,Prices!$A:$C,2,FALSE)))*H58)</f>
        <v>0</v>
      </c>
      <c r="M58" s="43">
        <f>IF(ISBLANK(E58),0,IF(Config!$B$2="low", IF(E58="Crystal dust", VLOOKUP("Enhanced crystal teleport seed",Prices!$A:$C,3,FALSE)/1500, VLOOKUP(E58,Prices!$A:$C,3,FALSE)), IF(E58="Crystal dust", VLOOKUP("Enhanced crystal teleport seed",Prices!$A:$C,2,FALSE)/1500, VLOOKUP(E58,Prices!$A:$C,2,FALSE)))*I58)</f>
        <v>0</v>
      </c>
      <c r="N58" s="41">
        <f>IF(OR(C58="Ashes",C58="Crystal dust"),K58,K58*0.9)</f>
        <v>315.90000000000003</v>
      </c>
      <c r="O58" s="42">
        <f>IF(OR(D58="Ashes",D58="Crystal dust"),L58,L58*0.9)</f>
        <v>0</v>
      </c>
      <c r="P58" s="43">
        <f>IF(OR(E58="Ashes",E58="Crystal dust"),M58,M58*0.9)</f>
        <v>0</v>
      </c>
      <c r="Q58" s="10">
        <f>IFERROR(VLOOKUP("Amulet of chemistry",Prices!$A:$C,2,FALSE),"")</f>
        <v>1300</v>
      </c>
      <c r="R58" s="9">
        <f>IF(Config!$B$8,Q58/10,Q58/5)</f>
        <v>130</v>
      </c>
      <c r="S58" s="9">
        <f>IF(Config!$B$8,R58*0.15,R58*0.05)</f>
        <v>19.5</v>
      </c>
      <c r="T58" s="9">
        <f>J58+IF(Config!$B$6,SUM(N58,P58),SUM(K58:M58))+IF(Config!$B$7,S58,0)</f>
        <v>3545.4</v>
      </c>
      <c r="U58" s="10">
        <f>IF(Config!$B$3="low",IF($AC58,VLOOKUP($A58,Prices!$A:$C,3,FALSE),VLOOKUP($A58&amp;"(3)",Prices!$A:$C,3,FALSE)),IF($AC58,VLOOKUP($A58,Prices!$A:$C,2,FALSE),VLOOKUP($A58&amp;"(3)",Prices!$A:$C,2,FALSE)))</f>
        <v>240</v>
      </c>
      <c r="V58" s="10">
        <f>IF(Config!$B$9,W58*3/4,U58)</f>
        <v>350.25</v>
      </c>
      <c r="W58" s="10">
        <f>IF(Config!$B$3="low",IF($AC58,VLOOKUP($A58,Prices!$A:$C,3,FALSE),VLOOKUP($A58&amp;"(4)",Prices!$A:$C,3,FALSE)),IF($AC58,VLOOKUP($A58,Prices!$A:$C,2,FALSE),VLOOKUP($A58&amp;"(4)",Prices!$A:$C,2,FALSE)))</f>
        <v>467</v>
      </c>
      <c r="X58" s="10">
        <f>IF(Config!$B$7,IF(Config!$B$8,V58*0.85+W58*0.15,V58*0.95+W58*0.05),V58)</f>
        <v>367.76249999999999</v>
      </c>
      <c r="Y58" s="10">
        <f>_xlfn.CEILING.MATH(X58*0.98)</f>
        <v>361</v>
      </c>
      <c r="Z58" s="11">
        <f>Y58-T58</f>
        <v>-3184.4</v>
      </c>
      <c r="AA58">
        <v>80</v>
      </c>
      <c r="AB58" s="11">
        <f>Z58/AA58</f>
        <v>-39.805</v>
      </c>
      <c r="AC58" s="12" t="b">
        <v>0</v>
      </c>
      <c r="AD58" s="10">
        <f>IF(AC58,VLOOKUP(A58,Prices!A:D,4,0),VLOOKUP(A58&amp;"(3)",Prices!A:D,4,0)*0.85+VLOOKUP(A58&amp;"(4)",Prices!A:D,4,0)*0.15)</f>
        <v>17.2</v>
      </c>
      <c r="AE58" s="33">
        <v>34</v>
      </c>
    </row>
    <row r="59" spans="1:31" x14ac:dyDescent="0.35">
      <c r="A59" s="22" t="s">
        <v>59</v>
      </c>
      <c r="B59" s="8" t="s">
        <v>60</v>
      </c>
      <c r="C59" s="5" t="s">
        <v>55</v>
      </c>
      <c r="D59" s="6"/>
      <c r="E59" s="7"/>
      <c r="F59" s="31">
        <v>1</v>
      </c>
      <c r="G59" s="5">
        <v>4</v>
      </c>
      <c r="H59" s="6">
        <v>0</v>
      </c>
      <c r="I59" s="36">
        <v>0</v>
      </c>
      <c r="J59" s="44">
        <f>IF(ISBLANK(B59),0,IF(Config!$B$2="low", VLOOKUP(B59,Prices!$A:$C,3,FALSE), VLOOKUP(B59,Prices!$A:$C,2,FALSE))*F59)</f>
        <v>26830</v>
      </c>
      <c r="K59" s="45">
        <f>IF(ISBLANK(C59),0,IF(Config!$B$2="low", IF(C59="Crystal dust", VLOOKUP("Enhanced crystal teleport seed",Prices!$A:$C,3,FALSE)/1500, VLOOKUP(C59,Prices!$A:$C,3,FALSE)), IF(C59="Crystal dust", VLOOKUP("Enhanced crystal teleport seed",Prices!$A:$C,2,FALSE)/1500, VLOOKUP(C59,Prices!$A:$C,2,FALSE)))*G59)</f>
        <v>200</v>
      </c>
      <c r="L59" s="42">
        <f>IF(ISBLANK(D59),0,IF(Config!$B$2="low", IF(D59="Crystal dust", VLOOKUP("Enhanced crystal teleport seed",Prices!$A:$C,3,FALSE)/1500, VLOOKUP(D59,Prices!$A:$C,3,FALSE)), IF(D59="Crystal dust", VLOOKUP("Enhanced crystal teleport seed",Prices!$A:$C,2,FALSE)/1500, VLOOKUP(D59,Prices!$A:$C,2,FALSE)))*H59)</f>
        <v>0</v>
      </c>
      <c r="M59" s="43">
        <f>IF(ISBLANK(E59),0,IF(Config!$B$2="low", IF(E59="Crystal dust", VLOOKUP("Enhanced crystal teleport seed",Prices!$A:$C,3,FALSE)/1500, VLOOKUP(E59,Prices!$A:$C,3,FALSE)), IF(E59="Crystal dust", VLOOKUP("Enhanced crystal teleport seed",Prices!$A:$C,2,FALSE)/1500, VLOOKUP(E59,Prices!$A:$C,2,FALSE)))*I59)</f>
        <v>0</v>
      </c>
      <c r="N59" s="41">
        <f>IF(OR(C59="Ashes",C59="Crystal dust"),K59,K59*0.9)</f>
        <v>180</v>
      </c>
      <c r="O59" s="42">
        <f>IF(OR(D59="Ashes",D59="Crystal dust"),L59,L59*0.9)</f>
        <v>0</v>
      </c>
      <c r="P59" s="43">
        <f>IF(OR(E59="Ashes",E59="Crystal dust"),M59,M59*0.9)</f>
        <v>0</v>
      </c>
      <c r="Q59" s="10">
        <f>IFERROR(VLOOKUP("Amulet of chemistry",Prices!$A:$C,2,FALSE),"")</f>
        <v>1300</v>
      </c>
      <c r="R59" s="9">
        <f>IF(Config!$B$8,Q59/10,Q59/5)</f>
        <v>130</v>
      </c>
      <c r="S59" s="9">
        <f>IF(Config!$B$8,R59*0.15,R59*0.05)</f>
        <v>19.5</v>
      </c>
      <c r="T59" s="9">
        <f>J59+IF(Config!$B$6,SUM(N59,P59),SUM(K59:M59))+IF(Config!$B$7,S59,0)</f>
        <v>27029.5</v>
      </c>
      <c r="U59" s="10">
        <f>IF(Config!$B$3="low",IF($AC59,VLOOKUP($A59,Prices!$A:$C,3,FALSE),VLOOKUP($A59&amp;"(3)",Prices!$A:$C,3,FALSE)),IF($AC59,VLOOKUP($A59,Prices!$A:$C,2,FALSE),VLOOKUP($A59&amp;"(3)",Prices!$A:$C,2,FALSE)))</f>
        <v>23659</v>
      </c>
      <c r="V59" s="10">
        <f>IF(Config!$B$9,W59*3/4,U59)</f>
        <v>17744.25</v>
      </c>
      <c r="W59" s="10">
        <f>IF(Config!$B$3="low",IF($AC59,VLOOKUP($A59,Prices!$A:$C,3,FALSE),VLOOKUP($A59&amp;"(4)",Prices!$A:$C,3,FALSE)),IF($AC59,VLOOKUP($A59,Prices!$A:$C,2,FALSE),VLOOKUP($A59&amp;"(4)",Prices!$A:$C,2,FALSE)))</f>
        <v>23659</v>
      </c>
      <c r="X59" s="10">
        <f>IF(Config!$B$7,IF(Config!$B$8,V59*0.85+W59*0.15,V59*0.95+W59*0.05),V59)</f>
        <v>18631.462499999998</v>
      </c>
      <c r="Y59" s="10">
        <f>_xlfn.CEILING.MATH(X59*0.98)</f>
        <v>18259</v>
      </c>
      <c r="Z59" s="11">
        <f>Y59-T59</f>
        <v>-8770.5</v>
      </c>
      <c r="AA59">
        <v>160</v>
      </c>
      <c r="AB59" s="11">
        <f>Z59/AA59</f>
        <v>-54.815624999999997</v>
      </c>
      <c r="AC59" s="12" t="b">
        <v>1</v>
      </c>
      <c r="AD59" s="10">
        <f>IF(AC59,VLOOKUP(A59,Prices!A:D,4,0),VLOOKUP(A59&amp;"(3)",Prices!A:D,4,0)*0.85+VLOOKUP(A59&amp;"(4)",Prices!A:D,4,0)*0.15)</f>
        <v>3043</v>
      </c>
      <c r="AE59" s="33">
        <v>98</v>
      </c>
    </row>
    <row r="60" spans="1:31" x14ac:dyDescent="0.35">
      <c r="A60" s="22" t="s">
        <v>148</v>
      </c>
      <c r="B60" s="8" t="s">
        <v>74</v>
      </c>
      <c r="C60" s="5" t="s">
        <v>115</v>
      </c>
      <c r="D60" s="6"/>
      <c r="E60" s="7"/>
      <c r="F60" s="31">
        <v>1</v>
      </c>
      <c r="G60" s="5">
        <v>1</v>
      </c>
      <c r="H60" s="6">
        <v>0</v>
      </c>
      <c r="I60" s="36">
        <v>0</v>
      </c>
      <c r="J60" s="44">
        <f>IF(ISBLANK(B60),0,IF(Config!$B$2="low", VLOOKUP(B60,Prices!$A:$C,3,FALSE), VLOOKUP(B60,Prices!$A:$C,2,FALSE))*F60)</f>
        <v>6080</v>
      </c>
      <c r="K60" s="45">
        <f>IF(ISBLANK(C60),0,IF(Config!$B$2="low", IF(C60="Crystal dust", VLOOKUP("Enhanced crystal teleport seed",Prices!$A:$C,3,FALSE)/1500, VLOOKUP(C60,Prices!$A:$C,3,FALSE)), IF(C60="Crystal dust", VLOOKUP("Enhanced crystal teleport seed",Prices!$A:$C,2,FALSE)/1500, VLOOKUP(C60,Prices!$A:$C,2,FALSE)))*G60)</f>
        <v>335</v>
      </c>
      <c r="L60" s="42">
        <f>IF(ISBLANK(D60),0,IF(Config!$B$2="low", IF(D60="Crystal dust", VLOOKUP("Enhanced crystal teleport seed",Prices!$A:$C,3,FALSE)/1500, VLOOKUP(D60,Prices!$A:$C,3,FALSE)), IF(D60="Crystal dust", VLOOKUP("Enhanced crystal teleport seed",Prices!$A:$C,2,FALSE)/1500, VLOOKUP(D60,Prices!$A:$C,2,FALSE)))*H60)</f>
        <v>0</v>
      </c>
      <c r="M60" s="43">
        <f>IF(ISBLANK(E60),0,IF(Config!$B$2="low", IF(E60="Crystal dust", VLOOKUP("Enhanced crystal teleport seed",Prices!$A:$C,3,FALSE)/1500, VLOOKUP(E60,Prices!$A:$C,3,FALSE)), IF(E60="Crystal dust", VLOOKUP("Enhanced crystal teleport seed",Prices!$A:$C,2,FALSE)/1500, VLOOKUP(E60,Prices!$A:$C,2,FALSE)))*I60)</f>
        <v>0</v>
      </c>
      <c r="N60" s="41">
        <f>IF(OR(C60="Ashes",C60="Crystal dust"),K60,K60*0.9)</f>
        <v>301.5</v>
      </c>
      <c r="O60" s="42">
        <f>IF(OR(D60="Ashes",D60="Crystal dust"),L60,L60*0.9)</f>
        <v>0</v>
      </c>
      <c r="P60" s="43">
        <f>IF(OR(E60="Ashes",E60="Crystal dust"),M60,M60*0.9)</f>
        <v>0</v>
      </c>
      <c r="Q60" s="10">
        <f>IFERROR(VLOOKUP("Amulet of chemistry",Prices!$A:$C,2,FALSE),"")</f>
        <v>1300</v>
      </c>
      <c r="R60" s="9">
        <f>IF(Config!$B$8,Q60/10,Q60/5)</f>
        <v>130</v>
      </c>
      <c r="S60" s="9">
        <f>IF(Config!$B$8,R60*0.15,R60*0.05)</f>
        <v>19.5</v>
      </c>
      <c r="T60" s="9">
        <f>J60+IF(Config!$B$6,SUM(N60,P60),SUM(K60:M60))+IF(Config!$B$7,S60,0)</f>
        <v>6401</v>
      </c>
      <c r="U60" s="10">
        <f>IF(Config!$B$3="low",IF($AC60,VLOOKUP($A60,Prices!$A:$C,3,FALSE),VLOOKUP($A60&amp;"(3)",Prices!$A:$C,3,FALSE)),IF($AC60,VLOOKUP($A60,Prices!$A:$C,2,FALSE),VLOOKUP($A60&amp;"(3)",Prices!$A:$C,2,FALSE)))</f>
        <v>405</v>
      </c>
      <c r="V60" s="10">
        <f>IF(Config!$B$9,W60*3/4,U60)</f>
        <v>338.25</v>
      </c>
      <c r="W60" s="10">
        <f>IF(Config!$B$3="low",IF($AC60,VLOOKUP($A60,Prices!$A:$C,3,FALSE),VLOOKUP($A60&amp;"(4)",Prices!$A:$C,3,FALSE)),IF($AC60,VLOOKUP($A60,Prices!$A:$C,2,FALSE),VLOOKUP($A60&amp;"(4)",Prices!$A:$C,2,FALSE)))</f>
        <v>451</v>
      </c>
      <c r="X60" s="10">
        <f>IF(Config!$B$7,IF(Config!$B$8,V60*0.85+W60*0.15,V60*0.95+W60*0.05),V60)</f>
        <v>355.16249999999997</v>
      </c>
      <c r="Y60" s="10">
        <f>_xlfn.CEILING.MATH(X60*0.98)</f>
        <v>349</v>
      </c>
      <c r="Z60" s="11">
        <f>Y60-T60</f>
        <v>-6052</v>
      </c>
      <c r="AA60">
        <v>75</v>
      </c>
      <c r="AB60" s="11">
        <f>Z60/AA60</f>
        <v>-80.693333333333328</v>
      </c>
      <c r="AC60" s="12" t="b">
        <v>0</v>
      </c>
      <c r="AD60" s="10">
        <f>IF(AC60,VLOOKUP(A60,Prices!A:D,4,0),VLOOKUP(A60&amp;"(3)",Prices!A:D,4,0)*0.85+VLOOKUP(A60&amp;"(4)",Prices!A:D,4,0)*0.15)</f>
        <v>69.899999999999991</v>
      </c>
      <c r="AE60" s="33">
        <v>30</v>
      </c>
    </row>
    <row r="61" spans="1:31" x14ac:dyDescent="0.35">
      <c r="A61" s="22" t="s">
        <v>47</v>
      </c>
      <c r="B61" s="8" t="s">
        <v>48</v>
      </c>
      <c r="C61" s="5" t="s">
        <v>44</v>
      </c>
      <c r="D61" s="6"/>
      <c r="E61" s="7"/>
      <c r="F61" s="31">
        <v>1</v>
      </c>
      <c r="G61" s="5">
        <v>4</v>
      </c>
      <c r="H61" s="6">
        <v>0</v>
      </c>
      <c r="I61" s="36">
        <v>0</v>
      </c>
      <c r="J61" s="44">
        <f>IF(ISBLANK(B61),0,IF(Config!$B$2="low", VLOOKUP(B61,Prices!$A:$C,3,FALSE), VLOOKUP(B61,Prices!$A:$C,2,FALSE))*F61)</f>
        <v>9576</v>
      </c>
      <c r="K61" s="45">
        <f>IF(ISBLANK(C61),0,IF(Config!$B$2="low", IF(C61="Crystal dust", VLOOKUP("Enhanced crystal teleport seed",Prices!$A:$C,3,FALSE)/1500, VLOOKUP(C61,Prices!$A:$C,3,FALSE)), IF(C61="Crystal dust", VLOOKUP("Enhanced crystal teleport seed",Prices!$A:$C,2,FALSE)/1500, VLOOKUP(C61,Prices!$A:$C,2,FALSE)))*G61)</f>
        <v>8212</v>
      </c>
      <c r="L61" s="42">
        <f>IF(ISBLANK(D61),0,IF(Config!$B$2="low", IF(D61="Crystal dust", VLOOKUP("Enhanced crystal teleport seed",Prices!$A:$C,3,FALSE)/1500, VLOOKUP(D61,Prices!$A:$C,3,FALSE)), IF(D61="Crystal dust", VLOOKUP("Enhanced crystal teleport seed",Prices!$A:$C,2,FALSE)/1500, VLOOKUP(D61,Prices!$A:$C,2,FALSE)))*H61)</f>
        <v>0</v>
      </c>
      <c r="M61" s="43">
        <f>IF(ISBLANK(E61),0,IF(Config!$B$2="low", IF(E61="Crystal dust", VLOOKUP("Enhanced crystal teleport seed",Prices!$A:$C,3,FALSE)/1500, VLOOKUP(E61,Prices!$A:$C,3,FALSE)), IF(E61="Crystal dust", VLOOKUP("Enhanced crystal teleport seed",Prices!$A:$C,2,FALSE)/1500, VLOOKUP(E61,Prices!$A:$C,2,FALSE)))*I61)</f>
        <v>0</v>
      </c>
      <c r="N61" s="41">
        <f>IF(OR(C61="Ashes",C61="Crystal dust"),K61,K61*0.9)</f>
        <v>7390.8</v>
      </c>
      <c r="O61" s="42">
        <f>IF(OR(D61="Ashes",D61="Crystal dust"),L61,L61*0.9)</f>
        <v>0</v>
      </c>
      <c r="P61" s="43">
        <f>IF(OR(E61="Ashes",E61="Crystal dust"),M61,M61*0.9)</f>
        <v>0</v>
      </c>
      <c r="Q61" s="10">
        <f>IFERROR(VLOOKUP("Amulet of chemistry",Prices!$A:$C,2,FALSE),"")</f>
        <v>1300</v>
      </c>
      <c r="R61" s="9">
        <f>IF(Config!$B$8,Q61/10,Q61/5)</f>
        <v>130</v>
      </c>
      <c r="S61" s="9">
        <f>IF(Config!$B$8,R61*0.15,R61*0.05)</f>
        <v>19.5</v>
      </c>
      <c r="T61" s="9">
        <f>J61+IF(Config!$B$6,SUM(N61,P61),SUM(K61:M61))+IF(Config!$B$7,S61,0)</f>
        <v>16986.3</v>
      </c>
      <c r="U61" s="10">
        <f>IF(Config!$B$3="low",IF($AC61,VLOOKUP($A61,Prices!$A:$C,3,FALSE),VLOOKUP($A61&amp;"(3)",Prices!$A:$C,3,FALSE)),IF($AC61,VLOOKUP($A61,Prices!$A:$C,2,FALSE),VLOOKUP($A61&amp;"(3)",Prices!$A:$C,2,FALSE)))</f>
        <v>17285</v>
      </c>
      <c r="V61" s="10">
        <f>IF(Config!$B$9,W61*3/4,U61)</f>
        <v>12963.75</v>
      </c>
      <c r="W61" s="10">
        <f>IF(Config!$B$3="low",IF($AC61,VLOOKUP($A61,Prices!$A:$C,3,FALSE),VLOOKUP($A61&amp;"(4)",Prices!$A:$C,3,FALSE)),IF($AC61,VLOOKUP($A61,Prices!$A:$C,2,FALSE),VLOOKUP($A61&amp;"(4)",Prices!$A:$C,2,FALSE)))</f>
        <v>17285</v>
      </c>
      <c r="X61" s="10">
        <f>IF(Config!$B$7,IF(Config!$B$8,V61*0.85+W61*0.15,V61*0.95+W61*0.05),V61)</f>
        <v>13611.9375</v>
      </c>
      <c r="Y61" s="10">
        <f>_xlfn.CEILING.MATH(X61*0.98)</f>
        <v>13340</v>
      </c>
      <c r="Z61" s="11">
        <f>Y61-T61</f>
        <v>-3646.2999999999993</v>
      </c>
      <c r="AA61">
        <v>20</v>
      </c>
      <c r="AB61" s="11">
        <f>Z61/AA61</f>
        <v>-182.31499999999997</v>
      </c>
      <c r="AC61" s="12" t="b">
        <v>1</v>
      </c>
      <c r="AD61" s="10">
        <f>IF(AC61,VLOOKUP(A61,Prices!A:D,4,0),VLOOKUP(A61&amp;"(3)",Prices!A:D,4,0)*0.85+VLOOKUP(A61&amp;"(4)",Prices!A:D,4,0)*0.15)</f>
        <v>2458</v>
      </c>
      <c r="AE61" s="33">
        <v>94</v>
      </c>
    </row>
    <row r="62" spans="1:31" x14ac:dyDescent="0.35">
      <c r="A62" s="22" t="s">
        <v>30</v>
      </c>
      <c r="B62" s="8" t="s">
        <v>31</v>
      </c>
      <c r="C62" s="5" t="s">
        <v>27</v>
      </c>
      <c r="D62" s="6"/>
      <c r="E62" s="7"/>
      <c r="F62" s="31">
        <v>1</v>
      </c>
      <c r="G62" s="5">
        <v>3</v>
      </c>
      <c r="H62" s="6">
        <v>0</v>
      </c>
      <c r="I62" s="36">
        <v>0</v>
      </c>
      <c r="J62" s="44">
        <f>IF(ISBLANK(B62),0,IF(Config!$B$2="low", VLOOKUP(B62,Prices!$A:$C,3,FALSE), VLOOKUP(B62,Prices!$A:$C,2,FALSE))*F62)</f>
        <v>11900</v>
      </c>
      <c r="K62" s="45">
        <f>IF(ISBLANK(C62),0,IF(Config!$B$2="low", IF(C62="Crystal dust", VLOOKUP("Enhanced crystal teleport seed",Prices!$A:$C,3,FALSE)/1500, VLOOKUP(C62,Prices!$A:$C,3,FALSE)), IF(C62="Crystal dust", VLOOKUP("Enhanced crystal teleport seed",Prices!$A:$C,2,FALSE)/1500, VLOOKUP(C62,Prices!$A:$C,2,FALSE)))*G62)</f>
        <v>4250.6139999999996</v>
      </c>
      <c r="L62" s="42">
        <f>IF(ISBLANK(D62),0,IF(Config!$B$2="low", IF(D62="Crystal dust", VLOOKUP("Enhanced crystal teleport seed",Prices!$A:$C,3,FALSE)/1500, VLOOKUP(D62,Prices!$A:$C,3,FALSE)), IF(D62="Crystal dust", VLOOKUP("Enhanced crystal teleport seed",Prices!$A:$C,2,FALSE)/1500, VLOOKUP(D62,Prices!$A:$C,2,FALSE)))*H62)</f>
        <v>0</v>
      </c>
      <c r="M62" s="43">
        <f>IF(ISBLANK(E62),0,IF(Config!$B$2="low", IF(E62="Crystal dust", VLOOKUP("Enhanced crystal teleport seed",Prices!$A:$C,3,FALSE)/1500, VLOOKUP(E62,Prices!$A:$C,3,FALSE)), IF(E62="Crystal dust", VLOOKUP("Enhanced crystal teleport seed",Prices!$A:$C,2,FALSE)/1500, VLOOKUP(E62,Prices!$A:$C,2,FALSE)))*I62)</f>
        <v>0</v>
      </c>
      <c r="N62" s="41">
        <f>IF(OR(C62="Ashes",C62="Crystal dust"),K62,K62*0.9)</f>
        <v>4250.6139999999996</v>
      </c>
      <c r="O62" s="42">
        <f>IF(OR(D62="Ashes",D62="Crystal dust"),L62,L62*0.9)</f>
        <v>0</v>
      </c>
      <c r="P62" s="43">
        <f>IF(OR(E62="Ashes",E62="Crystal dust"),M62,M62*0.9)</f>
        <v>0</v>
      </c>
      <c r="Q62" s="10">
        <f>IFERROR(VLOOKUP("Amulet of chemistry",Prices!$A:$C,2,FALSE),"")</f>
        <v>1300</v>
      </c>
      <c r="R62" s="9">
        <f>IF(Config!$B$8,Q62/10,Q62/5)</f>
        <v>130</v>
      </c>
      <c r="S62" s="9">
        <f>IF(Config!$B$8,R62*0.15,R62*0.05)</f>
        <v>19.5</v>
      </c>
      <c r="T62" s="9">
        <f>J62+IF(Config!$B$6,SUM(N62,P62),SUM(K62:M62))+IF(Config!$B$7,S62,0)</f>
        <v>16170.114</v>
      </c>
      <c r="U62" s="10">
        <f>IF(Config!$B$3="low",IF($AC62,VLOOKUP($A62,Prices!$A:$C,3,FALSE),VLOOKUP($A62&amp;"(3)",Prices!$A:$C,3,FALSE)),IF($AC62,VLOOKUP($A62,Prices!$A:$C,2,FALSE),VLOOKUP($A62&amp;"(3)",Prices!$A:$C,2,FALSE)))</f>
        <v>14870</v>
      </c>
      <c r="V62" s="10">
        <f>IF(Config!$B$9,W62*3/4,U62)</f>
        <v>14973.75</v>
      </c>
      <c r="W62" s="10">
        <f>IF(Config!$B$3="low",IF($AC62,VLOOKUP($A62,Prices!$A:$C,3,FALSE),VLOOKUP($A62&amp;"(4)",Prices!$A:$C,3,FALSE)),IF($AC62,VLOOKUP($A62,Prices!$A:$C,2,FALSE),VLOOKUP($A62&amp;"(4)",Prices!$A:$C,2,FALSE)))</f>
        <v>19965</v>
      </c>
      <c r="X62" s="10">
        <f>IF(Config!$B$7,IF(Config!$B$8,V62*0.85+W62*0.15,V62*0.95+W62*0.05),V62)</f>
        <v>15722.4375</v>
      </c>
      <c r="Y62" s="10">
        <f>_xlfn.CEILING.MATH(X62*0.98)</f>
        <v>15408</v>
      </c>
      <c r="Z62" s="11">
        <f>Y62-T62</f>
        <v>-762.11399999999958</v>
      </c>
      <c r="AA62">
        <v>1.5</v>
      </c>
      <c r="AB62" s="11">
        <f>Z62/AA62</f>
        <v>-508.07599999999974</v>
      </c>
      <c r="AC62" s="12" t="b">
        <v>0</v>
      </c>
      <c r="AD62" s="10">
        <f>IF(AC62,VLOOKUP(A62,Prices!A:D,4,0),VLOOKUP(A62&amp;"(3)",Prices!A:D,4,0)*0.85+VLOOKUP(A62&amp;"(4)",Prices!A:D,4,0)*0.15)</f>
        <v>876.80000000000007</v>
      </c>
      <c r="AE62" s="33">
        <v>97</v>
      </c>
    </row>
    <row r="63" spans="1:31" x14ac:dyDescent="0.35">
      <c r="A63" s="22" t="s">
        <v>28</v>
      </c>
      <c r="B63" s="8" t="s">
        <v>29</v>
      </c>
      <c r="C63" s="5" t="s">
        <v>27</v>
      </c>
      <c r="D63" s="6"/>
      <c r="E63" s="7"/>
      <c r="F63" s="31">
        <v>1</v>
      </c>
      <c r="G63" s="5">
        <v>3</v>
      </c>
      <c r="H63" s="6">
        <v>0</v>
      </c>
      <c r="I63" s="36">
        <v>0</v>
      </c>
      <c r="J63" s="44">
        <f>IF(ISBLANK(B63),0,IF(Config!$B$2="low", VLOOKUP(B63,Prices!$A:$C,3,FALSE), VLOOKUP(B63,Prices!$A:$C,2,FALSE))*F63)</f>
        <v>13789</v>
      </c>
      <c r="K63" s="45">
        <f>IF(ISBLANK(C63),0,IF(Config!$B$2="low", IF(C63="Crystal dust", VLOOKUP("Enhanced crystal teleport seed",Prices!$A:$C,3,FALSE)/1500, VLOOKUP(C63,Prices!$A:$C,3,FALSE)), IF(C63="Crystal dust", VLOOKUP("Enhanced crystal teleport seed",Prices!$A:$C,2,FALSE)/1500, VLOOKUP(C63,Prices!$A:$C,2,FALSE)))*G63)</f>
        <v>4250.6139999999996</v>
      </c>
      <c r="L63" s="42">
        <f>IF(ISBLANK(D63),0,IF(Config!$B$2="low", IF(D63="Crystal dust", VLOOKUP("Enhanced crystal teleport seed",Prices!$A:$C,3,FALSE)/1500, VLOOKUP(D63,Prices!$A:$C,3,FALSE)), IF(D63="Crystal dust", VLOOKUP("Enhanced crystal teleport seed",Prices!$A:$C,2,FALSE)/1500, VLOOKUP(D63,Prices!$A:$C,2,FALSE)))*H63)</f>
        <v>0</v>
      </c>
      <c r="M63" s="43">
        <f>IF(ISBLANK(E63),0,IF(Config!$B$2="low", IF(E63="Crystal dust", VLOOKUP("Enhanced crystal teleport seed",Prices!$A:$C,3,FALSE)/1500, VLOOKUP(E63,Prices!$A:$C,3,FALSE)), IF(E63="Crystal dust", VLOOKUP("Enhanced crystal teleport seed",Prices!$A:$C,2,FALSE)/1500, VLOOKUP(E63,Prices!$A:$C,2,FALSE)))*I63)</f>
        <v>0</v>
      </c>
      <c r="N63" s="41">
        <f>IF(OR(C63="Ashes",C63="Crystal dust"),K63,K63*0.9)</f>
        <v>4250.6139999999996</v>
      </c>
      <c r="O63" s="42">
        <f>IF(OR(D63="Ashes",D63="Crystal dust"),L63,L63*0.9)</f>
        <v>0</v>
      </c>
      <c r="P63" s="43">
        <f>IF(OR(E63="Ashes",E63="Crystal dust"),M63,M63*0.9)</f>
        <v>0</v>
      </c>
      <c r="Q63" s="10">
        <f>IFERROR(VLOOKUP("Amulet of chemistry",Prices!$A:$C,2,FALSE),"")</f>
        <v>1300</v>
      </c>
      <c r="R63" s="9">
        <f>IF(Config!$B$8,Q63/10,Q63/5)</f>
        <v>130</v>
      </c>
      <c r="S63" s="9">
        <f>IF(Config!$B$8,R63*0.15,R63*0.05)</f>
        <v>19.5</v>
      </c>
      <c r="T63" s="9">
        <f>J63+IF(Config!$B$6,SUM(N63,P63),SUM(K63:M63))+IF(Config!$B$7,S63,0)</f>
        <v>18059.114000000001</v>
      </c>
      <c r="U63" s="10">
        <f>IF(Config!$B$3="low",IF($AC63,VLOOKUP($A63,Prices!$A:$C,3,FALSE),VLOOKUP($A63&amp;"(3)",Prices!$A:$C,3,FALSE)),IF($AC63,VLOOKUP($A63,Prices!$A:$C,2,FALSE),VLOOKUP($A63&amp;"(3)",Prices!$A:$C,2,FALSE)))</f>
        <v>17135</v>
      </c>
      <c r="V63" s="10">
        <f>IF(Config!$B$9,W63*3/4,U63)</f>
        <v>16503.75</v>
      </c>
      <c r="W63" s="10">
        <f>IF(Config!$B$3="low",IF($AC63,VLOOKUP($A63,Prices!$A:$C,3,FALSE),VLOOKUP($A63&amp;"(4)",Prices!$A:$C,3,FALSE)),IF($AC63,VLOOKUP($A63,Prices!$A:$C,2,FALSE),VLOOKUP($A63&amp;"(4)",Prices!$A:$C,2,FALSE)))</f>
        <v>22005</v>
      </c>
      <c r="X63" s="10">
        <f>IF(Config!$B$7,IF(Config!$B$8,V63*0.85+W63*0.15,V63*0.95+W63*0.05),V63)</f>
        <v>17328.9375</v>
      </c>
      <c r="Y63" s="10">
        <f>_xlfn.CEILING.MATH(X63*0.98)</f>
        <v>16983</v>
      </c>
      <c r="Z63" s="11">
        <f>Y63-T63</f>
        <v>-1076.1140000000014</v>
      </c>
      <c r="AA63">
        <v>1.5</v>
      </c>
      <c r="AB63" s="11">
        <f>Z63/AA63</f>
        <v>-717.4093333333343</v>
      </c>
      <c r="AC63" s="12" t="b">
        <v>0</v>
      </c>
      <c r="AD63" s="10">
        <f>IF(AC63,VLOOKUP(A63,Prices!A:D,4,0),VLOOKUP(A63&amp;"(3)",Prices!A:D,4,0)*0.85+VLOOKUP(A63&amp;"(4)",Prices!A:D,4,0)*0.15)</f>
        <v>150.04999999999998</v>
      </c>
      <c r="AE63" s="33">
        <v>86</v>
      </c>
    </row>
    <row r="64" spans="1:31" x14ac:dyDescent="0.35">
      <c r="A64" s="22" t="s">
        <v>40</v>
      </c>
      <c r="B64" s="8" t="s">
        <v>41</v>
      </c>
      <c r="C64" s="5" t="s">
        <v>27</v>
      </c>
      <c r="D64" s="6"/>
      <c r="E64" s="7"/>
      <c r="F64" s="31">
        <v>1</v>
      </c>
      <c r="G64" s="5">
        <v>3</v>
      </c>
      <c r="H64" s="6">
        <v>0</v>
      </c>
      <c r="I64" s="36">
        <v>0</v>
      </c>
      <c r="J64" s="44">
        <f>IF(ISBLANK(B64),0,IF(Config!$B$2="low", VLOOKUP(B64,Prices!$A:$C,3,FALSE), VLOOKUP(B64,Prices!$A:$C,2,FALSE))*F64)</f>
        <v>1821</v>
      </c>
      <c r="K64" s="45">
        <f>IF(ISBLANK(C64),0,IF(Config!$B$2="low", IF(C64="Crystal dust", VLOOKUP("Enhanced crystal teleport seed",Prices!$A:$C,3,FALSE)/1500, VLOOKUP(C64,Prices!$A:$C,3,FALSE)), IF(C64="Crystal dust", VLOOKUP("Enhanced crystal teleport seed",Prices!$A:$C,2,FALSE)/1500, VLOOKUP(C64,Prices!$A:$C,2,FALSE)))*G64)</f>
        <v>4250.6139999999996</v>
      </c>
      <c r="L64" s="42">
        <f>IF(ISBLANK(D64),0,IF(Config!$B$2="low", IF(D64="Crystal dust", VLOOKUP("Enhanced crystal teleport seed",Prices!$A:$C,3,FALSE)/1500, VLOOKUP(D64,Prices!$A:$C,3,FALSE)), IF(D64="Crystal dust", VLOOKUP("Enhanced crystal teleport seed",Prices!$A:$C,2,FALSE)/1500, VLOOKUP(D64,Prices!$A:$C,2,FALSE)))*H64)</f>
        <v>0</v>
      </c>
      <c r="M64" s="43">
        <f>IF(ISBLANK(E64),0,IF(Config!$B$2="low", IF(E64="Crystal dust", VLOOKUP("Enhanced crystal teleport seed",Prices!$A:$C,3,FALSE)/1500, VLOOKUP(E64,Prices!$A:$C,3,FALSE)), IF(E64="Crystal dust", VLOOKUP("Enhanced crystal teleport seed",Prices!$A:$C,2,FALSE)/1500, VLOOKUP(E64,Prices!$A:$C,2,FALSE)))*I64)</f>
        <v>0</v>
      </c>
      <c r="N64" s="41">
        <f>IF(OR(C64="Ashes",C64="Crystal dust"),K64,K64*0.9)</f>
        <v>4250.6139999999996</v>
      </c>
      <c r="O64" s="42">
        <f>IF(OR(D64="Ashes",D64="Crystal dust"),L64,L64*0.9)</f>
        <v>0</v>
      </c>
      <c r="P64" s="43">
        <f>IF(OR(E64="Ashes",E64="Crystal dust"),M64,M64*0.9)</f>
        <v>0</v>
      </c>
      <c r="Q64" s="10">
        <f>IFERROR(VLOOKUP("Amulet of chemistry",Prices!$A:$C,2,FALSE),"")</f>
        <v>1300</v>
      </c>
      <c r="R64" s="9">
        <f>IF(Config!$B$8,Q64/10,Q64/5)</f>
        <v>130</v>
      </c>
      <c r="S64" s="9">
        <f>IF(Config!$B$8,R64*0.15,R64*0.05)</f>
        <v>19.5</v>
      </c>
      <c r="T64" s="9">
        <f>J64+IF(Config!$B$6,SUM(N64,P64),SUM(K64:M64))+IF(Config!$B$7,S64,0)</f>
        <v>6091.1139999999996</v>
      </c>
      <c r="U64" s="10">
        <f>IF(Config!$B$3="low",IF($AC64,VLOOKUP($A64,Prices!$A:$C,3,FALSE),VLOOKUP($A64&amp;"(3)",Prices!$A:$C,3,FALSE)),IF($AC64,VLOOKUP($A64,Prices!$A:$C,2,FALSE),VLOOKUP($A64&amp;"(3)",Prices!$A:$C,2,FALSE)))</f>
        <v>4374</v>
      </c>
      <c r="V64" s="10">
        <f>IF(Config!$B$9,W64*3/4,U64)</f>
        <v>4638.75</v>
      </c>
      <c r="W64" s="10">
        <f>IF(Config!$B$3="low",IF($AC64,VLOOKUP($A64,Prices!$A:$C,3,FALSE),VLOOKUP($A64&amp;"(4)",Prices!$A:$C,3,FALSE)),IF($AC64,VLOOKUP($A64,Prices!$A:$C,2,FALSE),VLOOKUP($A64&amp;"(4)",Prices!$A:$C,2,FALSE)))</f>
        <v>6185</v>
      </c>
      <c r="X64" s="10">
        <f>IF(Config!$B$7,IF(Config!$B$8,V64*0.85+W64*0.15,V64*0.95+W64*0.05),V64)</f>
        <v>4870.6875</v>
      </c>
      <c r="Y64" s="10">
        <f>_xlfn.CEILING.MATH(X64*0.98)</f>
        <v>4774</v>
      </c>
      <c r="Z64" s="11">
        <f>Y64-T64</f>
        <v>-1317.1139999999996</v>
      </c>
      <c r="AA64">
        <v>1.5</v>
      </c>
      <c r="AB64" s="11">
        <f>Z64/AA64</f>
        <v>-878.07599999999968</v>
      </c>
      <c r="AC64" s="12" t="b">
        <v>0</v>
      </c>
      <c r="AD64" s="10">
        <f>IF(AC64,VLOOKUP(A64,Prices!A:D,4,0),VLOOKUP(A64&amp;"(3)",Prices!A:D,4,0)*0.85+VLOOKUP(A64&amp;"(4)",Prices!A:D,4,0)*0.15)</f>
        <v>1029.3999999999999</v>
      </c>
      <c r="AE64" s="33">
        <v>74</v>
      </c>
    </row>
    <row r="65" spans="1:31" x14ac:dyDescent="0.35">
      <c r="A65" s="22" t="s">
        <v>184</v>
      </c>
      <c r="B65" s="8" t="s">
        <v>185</v>
      </c>
      <c r="C65" s="5" t="s">
        <v>27</v>
      </c>
      <c r="D65" s="6"/>
      <c r="E65" s="7"/>
      <c r="F65" s="31">
        <v>1</v>
      </c>
      <c r="G65" s="5">
        <v>3</v>
      </c>
      <c r="H65" s="6">
        <v>0</v>
      </c>
      <c r="I65" s="36">
        <v>0</v>
      </c>
      <c r="J65" s="44">
        <f>IF(ISBLANK(B65),0,IF(Config!$B$2="low", VLOOKUP(B65,Prices!$A:$C,3,FALSE), VLOOKUP(B65,Prices!$A:$C,2,FALSE))*F65)</f>
        <v>115</v>
      </c>
      <c r="K65" s="45">
        <f>IF(ISBLANK(C65),0,IF(Config!$B$2="low", IF(C65="Crystal dust", VLOOKUP("Enhanced crystal teleport seed",Prices!$A:$C,3,FALSE)/1500, VLOOKUP(C65,Prices!$A:$C,3,FALSE)), IF(C65="Crystal dust", VLOOKUP("Enhanced crystal teleport seed",Prices!$A:$C,2,FALSE)/1500, VLOOKUP(C65,Prices!$A:$C,2,FALSE)))*G65)</f>
        <v>4250.6139999999996</v>
      </c>
      <c r="L65" s="42">
        <f>IF(ISBLANK(D65),0,IF(Config!$B$2="low", IF(D65="Crystal dust", VLOOKUP("Enhanced crystal teleport seed",Prices!$A:$C,3,FALSE)/1500, VLOOKUP(D65,Prices!$A:$C,3,FALSE)), IF(D65="Crystal dust", VLOOKUP("Enhanced crystal teleport seed",Prices!$A:$C,2,FALSE)/1500, VLOOKUP(D65,Prices!$A:$C,2,FALSE)))*H65)</f>
        <v>0</v>
      </c>
      <c r="M65" s="43">
        <f>IF(ISBLANK(E65),0,IF(Config!$B$2="low", IF(E65="Crystal dust", VLOOKUP("Enhanced crystal teleport seed",Prices!$A:$C,3,FALSE)/1500, VLOOKUP(E65,Prices!$A:$C,3,FALSE)), IF(E65="Crystal dust", VLOOKUP("Enhanced crystal teleport seed",Prices!$A:$C,2,FALSE)/1500, VLOOKUP(E65,Prices!$A:$C,2,FALSE)))*I65)</f>
        <v>0</v>
      </c>
      <c r="N65" s="41">
        <f>IF(OR(C65="Ashes",C65="Crystal dust"),K65,K65*0.9)</f>
        <v>4250.6139999999996</v>
      </c>
      <c r="O65" s="42">
        <f>IF(OR(D65="Ashes",D65="Crystal dust"),L65,L65*0.9)</f>
        <v>0</v>
      </c>
      <c r="P65" s="43">
        <f>IF(OR(E65="Ashes",E65="Crystal dust"),M65,M65*0.9)</f>
        <v>0</v>
      </c>
      <c r="Q65" s="10">
        <f>IFERROR(VLOOKUP("Amulet of chemistry",Prices!$A:$C,2,FALSE),"")</f>
        <v>1300</v>
      </c>
      <c r="R65" s="9">
        <f>IF(Config!$B$8,Q65/10,Q65/5)</f>
        <v>130</v>
      </c>
      <c r="S65" s="9">
        <f>IF(Config!$B$8,R65*0.15,R65*0.05)</f>
        <v>19.5</v>
      </c>
      <c r="T65" s="9">
        <f>J65+IF(Config!$B$6,SUM(N65,P65),SUM(K65:M65))+IF(Config!$B$7,S65,0)</f>
        <v>4385.1139999999996</v>
      </c>
      <c r="U65" s="10">
        <f>IF(Config!$B$3="low",IF($AC65,VLOOKUP($A65,Prices!$A:$C,3,FALSE),VLOOKUP($A65&amp;"(3)",Prices!$A:$C,3,FALSE)),IF($AC65,VLOOKUP($A65,Prices!$A:$C,2,FALSE),VLOOKUP($A65&amp;"(3)",Prices!$A:$C,2,FALSE)))</f>
        <v>2108</v>
      </c>
      <c r="V65" s="10">
        <f>IF(Config!$B$9,W65*3/4,U65)</f>
        <v>2625</v>
      </c>
      <c r="W65" s="10">
        <f>IF(Config!$B$3="low",IF($AC65,VLOOKUP($A65,Prices!$A:$C,3,FALSE),VLOOKUP($A65&amp;"(4)",Prices!$A:$C,3,FALSE)),IF($AC65,VLOOKUP($A65,Prices!$A:$C,2,FALSE),VLOOKUP($A65&amp;"(4)",Prices!$A:$C,2,FALSE)))</f>
        <v>3500</v>
      </c>
      <c r="X65" s="10">
        <f>IF(Config!$B$7,IF(Config!$B$8,V65*0.85+W65*0.15,V65*0.95+W65*0.05),V65)</f>
        <v>2756.25</v>
      </c>
      <c r="Y65" s="10">
        <f>_xlfn.CEILING.MATH(X65*0.98)</f>
        <v>2702</v>
      </c>
      <c r="Z65" s="11">
        <f>Y65-T65</f>
        <v>-1683.1139999999996</v>
      </c>
      <c r="AA65">
        <v>1.5</v>
      </c>
      <c r="AB65" s="11">
        <f>Z65/AA65</f>
        <v>-1122.0759999999998</v>
      </c>
      <c r="AC65" s="12" t="b">
        <v>0</v>
      </c>
      <c r="AD65" s="10">
        <f>IF(AC65,VLOOKUP(A65,Prices!A:D,4,0),VLOOKUP(A65&amp;"(3)",Prices!A:D,4,0)*0.85+VLOOKUP(A65&amp;"(4)",Prices!A:D,4,0)*0.15)</f>
        <v>158.85</v>
      </c>
      <c r="AE65" s="33">
        <v>78</v>
      </c>
    </row>
    <row r="66" spans="1:31" x14ac:dyDescent="0.35">
      <c r="A66" s="22" t="s">
        <v>45</v>
      </c>
      <c r="B66" s="8" t="s">
        <v>46</v>
      </c>
      <c r="C66" s="5" t="s">
        <v>27</v>
      </c>
      <c r="D66" s="6"/>
      <c r="E66" s="7"/>
      <c r="F66" s="31">
        <v>1</v>
      </c>
      <c r="G66" s="5">
        <v>3</v>
      </c>
      <c r="H66" s="6">
        <v>0</v>
      </c>
      <c r="I66" s="36">
        <v>0</v>
      </c>
      <c r="J66" s="44">
        <f>IF(ISBLANK(B66),0,IF(Config!$B$2="low", VLOOKUP(B66,Prices!$A:$C,3,FALSE), VLOOKUP(B66,Prices!$A:$C,2,FALSE))*F66)</f>
        <v>2227</v>
      </c>
      <c r="K66" s="45">
        <f>IF(ISBLANK(C66),0,IF(Config!$B$2="low", IF(C66="Crystal dust", VLOOKUP("Enhanced crystal teleport seed",Prices!$A:$C,3,FALSE)/1500, VLOOKUP(C66,Prices!$A:$C,3,FALSE)), IF(C66="Crystal dust", VLOOKUP("Enhanced crystal teleport seed",Prices!$A:$C,2,FALSE)/1500, VLOOKUP(C66,Prices!$A:$C,2,FALSE)))*G66)</f>
        <v>4250.6139999999996</v>
      </c>
      <c r="L66" s="42">
        <f>IF(ISBLANK(D66),0,IF(Config!$B$2="low", IF(D66="Crystal dust", VLOOKUP("Enhanced crystal teleport seed",Prices!$A:$C,3,FALSE)/1500, VLOOKUP(D66,Prices!$A:$C,3,FALSE)), IF(D66="Crystal dust", VLOOKUP("Enhanced crystal teleport seed",Prices!$A:$C,2,FALSE)/1500, VLOOKUP(D66,Prices!$A:$C,2,FALSE)))*H66)</f>
        <v>0</v>
      </c>
      <c r="M66" s="43">
        <f>IF(ISBLANK(E66),0,IF(Config!$B$2="low", IF(E66="Crystal dust", VLOOKUP("Enhanced crystal teleport seed",Prices!$A:$C,3,FALSE)/1500, VLOOKUP(E66,Prices!$A:$C,3,FALSE)), IF(E66="Crystal dust", VLOOKUP("Enhanced crystal teleport seed",Prices!$A:$C,2,FALSE)/1500, VLOOKUP(E66,Prices!$A:$C,2,FALSE)))*I66)</f>
        <v>0</v>
      </c>
      <c r="N66" s="41">
        <f>IF(OR(C66="Ashes",C66="Crystal dust"),K66,K66*0.9)</f>
        <v>4250.6139999999996</v>
      </c>
      <c r="O66" s="42">
        <f>IF(OR(D66="Ashes",D66="Crystal dust"),L66,L66*0.9)</f>
        <v>0</v>
      </c>
      <c r="P66" s="43">
        <f>IF(OR(E66="Ashes",E66="Crystal dust"),M66,M66*0.9)</f>
        <v>0</v>
      </c>
      <c r="Q66" s="10">
        <f>IFERROR(VLOOKUP("Amulet of chemistry",Prices!$A:$C,2,FALSE),"")</f>
        <v>1300</v>
      </c>
      <c r="R66" s="9">
        <f>IF(Config!$B$8,Q66/10,Q66/5)</f>
        <v>130</v>
      </c>
      <c r="S66" s="9">
        <f>IF(Config!$B$8,R66*0.15,R66*0.05)</f>
        <v>19.5</v>
      </c>
      <c r="T66" s="9">
        <f>J66+IF(Config!$B$6,SUM(N66,P66),SUM(K66:M66))+IF(Config!$B$7,S66,0)</f>
        <v>6497.1139999999996</v>
      </c>
      <c r="U66" s="10">
        <f>IF(Config!$B$3="low",IF($AC66,VLOOKUP($A66,Prices!$A:$C,3,FALSE),VLOOKUP($A66&amp;"(3)",Prices!$A:$C,3,FALSE)),IF($AC66,VLOOKUP($A66,Prices!$A:$C,2,FALSE),VLOOKUP($A66&amp;"(3)",Prices!$A:$C,2,FALSE)))</f>
        <v>3080</v>
      </c>
      <c r="V66" s="10">
        <f>IF(Config!$B$9,W66*3/4,U66)</f>
        <v>4002.75</v>
      </c>
      <c r="W66" s="10">
        <f>IF(Config!$B$3="low",IF($AC66,VLOOKUP($A66,Prices!$A:$C,3,FALSE),VLOOKUP($A66&amp;"(4)",Prices!$A:$C,3,FALSE)),IF($AC66,VLOOKUP($A66,Prices!$A:$C,2,FALSE),VLOOKUP($A66&amp;"(4)",Prices!$A:$C,2,FALSE)))</f>
        <v>5337</v>
      </c>
      <c r="X66" s="10">
        <f>IF(Config!$B$7,IF(Config!$B$8,V66*0.85+W66*0.15,V66*0.95+W66*0.05),V66)</f>
        <v>4202.8874999999998</v>
      </c>
      <c r="Y66" s="10">
        <f>_xlfn.CEILING.MATH(X66*0.98)</f>
        <v>4119</v>
      </c>
      <c r="Z66" s="11">
        <f>Y66-T66</f>
        <v>-2378.1139999999996</v>
      </c>
      <c r="AA66">
        <v>1.5</v>
      </c>
      <c r="AB66" s="11">
        <f>Z66/AA66</f>
        <v>-1585.4093333333331</v>
      </c>
      <c r="AC66" s="12" t="b">
        <v>0</v>
      </c>
      <c r="AD66" s="10">
        <f>IF(AC66,VLOOKUP(A66,Prices!A:D,4,0),VLOOKUP(A66&amp;"(3)",Prices!A:D,4,0)*0.85+VLOOKUP(A66&amp;"(4)",Prices!A:D,4,0)*0.15)</f>
        <v>4.5</v>
      </c>
      <c r="AE66" s="33">
        <v>70</v>
      </c>
    </row>
    <row r="67" spans="1:31" x14ac:dyDescent="0.35">
      <c r="A67" s="22" t="s">
        <v>187</v>
      </c>
      <c r="B67" s="8" t="s">
        <v>188</v>
      </c>
      <c r="C67" s="5" t="s">
        <v>27</v>
      </c>
      <c r="D67" s="6"/>
      <c r="E67" s="7"/>
      <c r="F67" s="31">
        <v>1</v>
      </c>
      <c r="G67" s="5">
        <v>4</v>
      </c>
      <c r="H67" s="6">
        <v>0</v>
      </c>
      <c r="I67" s="36">
        <v>0</v>
      </c>
      <c r="J67" s="44">
        <f>IF(ISBLANK(B67),0,IF(Config!$B$2="low", VLOOKUP(B67,Prices!$A:$C,3,FALSE), VLOOKUP(B67,Prices!$A:$C,2,FALSE))*F67)</f>
        <v>200</v>
      </c>
      <c r="K67" s="45">
        <f>IF(ISBLANK(C67),0,IF(Config!$B$2="low", IF(C67="Crystal dust", VLOOKUP("Enhanced crystal teleport seed",Prices!$A:$C,3,FALSE)/1500, VLOOKUP(C67,Prices!$A:$C,3,FALSE)), IF(C67="Crystal dust", VLOOKUP("Enhanced crystal teleport seed",Prices!$A:$C,2,FALSE)/1500, VLOOKUP(C67,Prices!$A:$C,2,FALSE)))*G67)</f>
        <v>5667.4853333333331</v>
      </c>
      <c r="L67" s="42">
        <f>IF(ISBLANK(D67),0,IF(Config!$B$2="low", IF(D67="Crystal dust", VLOOKUP("Enhanced crystal teleport seed",Prices!$A:$C,3,FALSE)/1500, VLOOKUP(D67,Prices!$A:$C,3,FALSE)), IF(D67="Crystal dust", VLOOKUP("Enhanced crystal teleport seed",Prices!$A:$C,2,FALSE)/1500, VLOOKUP(D67,Prices!$A:$C,2,FALSE)))*H67)</f>
        <v>0</v>
      </c>
      <c r="M67" s="43">
        <f>IF(ISBLANK(E67),0,IF(Config!$B$2="low", IF(E67="Crystal dust", VLOOKUP("Enhanced crystal teleport seed",Prices!$A:$C,3,FALSE)/1500, VLOOKUP(E67,Prices!$A:$C,3,FALSE)), IF(E67="Crystal dust", VLOOKUP("Enhanced crystal teleport seed",Prices!$A:$C,2,FALSE)/1500, VLOOKUP(E67,Prices!$A:$C,2,FALSE)))*I67)</f>
        <v>0</v>
      </c>
      <c r="N67" s="41">
        <f>IF(OR(C67="Ashes",C67="Crystal dust"),K67,K67*0.9)</f>
        <v>5667.4853333333331</v>
      </c>
      <c r="O67" s="42">
        <f>IF(OR(D67="Ashes",D67="Crystal dust"),L67,L67*0.9)</f>
        <v>0</v>
      </c>
      <c r="P67" s="43">
        <f>IF(OR(E67="Ashes",E67="Crystal dust"),M67,M67*0.9)</f>
        <v>0</v>
      </c>
      <c r="Q67" s="10">
        <f>IFERROR(VLOOKUP("Amulet of chemistry",Prices!$A:$C,2,FALSE),"")</f>
        <v>1300</v>
      </c>
      <c r="R67" s="9">
        <f>IF(Config!$B$8,Q67/10,Q67/5)</f>
        <v>130</v>
      </c>
      <c r="S67" s="9">
        <f>IF(Config!$B$8,R67*0.15,R67*0.05)</f>
        <v>19.5</v>
      </c>
      <c r="T67" s="9">
        <f>J67+IF(Config!$B$6,SUM(N67,P67),SUM(K67:M67))+IF(Config!$B$7,S67,0)</f>
        <v>5886.9853333333331</v>
      </c>
      <c r="U67" s="10">
        <f>IF(Config!$B$3="low",IF($AC67,VLOOKUP($A67,Prices!$A:$C,3,FALSE),VLOOKUP($A67&amp;"(3)",Prices!$A:$C,3,FALSE)),IF($AC67,VLOOKUP($A67,Prices!$A:$C,2,FALSE),VLOOKUP($A67&amp;"(3)",Prices!$A:$C,2,FALSE)))</f>
        <v>3500</v>
      </c>
      <c r="V67" s="10">
        <f>IF(Config!$B$9,W67*3/4,U67)</f>
        <v>2625</v>
      </c>
      <c r="W67" s="10">
        <f>IF(Config!$B$3="low",IF($AC67,VLOOKUP($A67,Prices!$A:$C,3,FALSE),VLOOKUP($A67&amp;"(4)",Prices!$A:$C,3,FALSE)),IF($AC67,VLOOKUP($A67,Prices!$A:$C,2,FALSE),VLOOKUP($A67&amp;"(4)",Prices!$A:$C,2,FALSE)))</f>
        <v>3500</v>
      </c>
      <c r="X67" s="10">
        <f>IF(Config!$B$7,IF(Config!$B$8,V67*0.85+W67*0.15,V67*0.95+W67*0.05),V67)</f>
        <v>2756.25</v>
      </c>
      <c r="Y67" s="10">
        <f>_xlfn.CEILING.MATH(X67*0.98)</f>
        <v>2702</v>
      </c>
      <c r="Z67" s="11">
        <f>Y67-T67</f>
        <v>-3184.9853333333331</v>
      </c>
      <c r="AA67">
        <v>2</v>
      </c>
      <c r="AB67" s="11">
        <f>Z67/AA67</f>
        <v>-1592.4926666666665</v>
      </c>
      <c r="AC67" s="12" t="b">
        <v>1</v>
      </c>
      <c r="AD67" s="10">
        <f>IF(AC67,VLOOKUP(A67,Prices!A:D,4,0),VLOOKUP(A67&amp;"(3)",Prices!A:D,4,0)*0.85+VLOOKUP(A67&amp;"(4)",Prices!A:D,4,0)*0.15)</f>
        <v>1059</v>
      </c>
      <c r="AE67" s="33">
        <v>78</v>
      </c>
    </row>
    <row r="68" spans="1:31" x14ac:dyDescent="0.35">
      <c r="A68" s="22" t="s">
        <v>38</v>
      </c>
      <c r="B68" s="8" t="s">
        <v>39</v>
      </c>
      <c r="C68" s="5" t="s">
        <v>27</v>
      </c>
      <c r="D68" s="6"/>
      <c r="E68" s="7"/>
      <c r="F68" s="31">
        <v>1</v>
      </c>
      <c r="G68" s="5">
        <v>3</v>
      </c>
      <c r="H68" s="6">
        <v>0</v>
      </c>
      <c r="I68" s="36">
        <v>0</v>
      </c>
      <c r="J68" s="44">
        <f>IF(ISBLANK(B68),0,IF(Config!$B$2="low", VLOOKUP(B68,Prices!$A:$C,3,FALSE), VLOOKUP(B68,Prices!$A:$C,2,FALSE))*F68)</f>
        <v>2877</v>
      </c>
      <c r="K68" s="45">
        <f>IF(ISBLANK(C68),0,IF(Config!$B$2="low", IF(C68="Crystal dust", VLOOKUP("Enhanced crystal teleport seed",Prices!$A:$C,3,FALSE)/1500, VLOOKUP(C68,Prices!$A:$C,3,FALSE)), IF(C68="Crystal dust", VLOOKUP("Enhanced crystal teleport seed",Prices!$A:$C,2,FALSE)/1500, VLOOKUP(C68,Prices!$A:$C,2,FALSE)))*G68)</f>
        <v>4250.6139999999996</v>
      </c>
      <c r="L68" s="42">
        <f>IF(ISBLANK(D68),0,IF(Config!$B$2="low", IF(D68="Crystal dust", VLOOKUP("Enhanced crystal teleport seed",Prices!$A:$C,3,FALSE)/1500, VLOOKUP(D68,Prices!$A:$C,3,FALSE)), IF(D68="Crystal dust", VLOOKUP("Enhanced crystal teleport seed",Prices!$A:$C,2,FALSE)/1500, VLOOKUP(D68,Prices!$A:$C,2,FALSE)))*H68)</f>
        <v>0</v>
      </c>
      <c r="M68" s="43">
        <f>IF(ISBLANK(E68),0,IF(Config!$B$2="low", IF(E68="Crystal dust", VLOOKUP("Enhanced crystal teleport seed",Prices!$A:$C,3,FALSE)/1500, VLOOKUP(E68,Prices!$A:$C,3,FALSE)), IF(E68="Crystal dust", VLOOKUP("Enhanced crystal teleport seed",Prices!$A:$C,2,FALSE)/1500, VLOOKUP(E68,Prices!$A:$C,2,FALSE)))*I68)</f>
        <v>0</v>
      </c>
      <c r="N68" s="41">
        <f>IF(OR(C68="Ashes",C68="Crystal dust"),K68,K68*0.9)</f>
        <v>4250.6139999999996</v>
      </c>
      <c r="O68" s="42">
        <f>IF(OR(D68="Ashes",D68="Crystal dust"),L68,L68*0.9)</f>
        <v>0</v>
      </c>
      <c r="P68" s="43">
        <f>IF(OR(E68="Ashes",E68="Crystal dust"),M68,M68*0.9)</f>
        <v>0</v>
      </c>
      <c r="Q68" s="10">
        <f>IFERROR(VLOOKUP("Amulet of chemistry",Prices!$A:$C,2,FALSE),"")</f>
        <v>1300</v>
      </c>
      <c r="R68" s="9">
        <f>IF(Config!$B$8,Q68/10,Q68/5)</f>
        <v>130</v>
      </c>
      <c r="S68" s="9">
        <f>IF(Config!$B$8,R68*0.15,R68*0.05)</f>
        <v>19.5</v>
      </c>
      <c r="T68" s="9">
        <f>J68+IF(Config!$B$6,SUM(N68,P68),SUM(K68:M68))+IF(Config!$B$7,S68,0)</f>
        <v>7147.1139999999996</v>
      </c>
      <c r="U68" s="10">
        <f>IF(Config!$B$3="low",IF($AC68,VLOOKUP($A68,Prices!$A:$C,3,FALSE),VLOOKUP($A68&amp;"(3)",Prices!$A:$C,3,FALSE)),IF($AC68,VLOOKUP($A68,Prices!$A:$C,2,FALSE),VLOOKUP($A68&amp;"(3)",Prices!$A:$C,2,FALSE)))</f>
        <v>4816</v>
      </c>
      <c r="V68" s="10">
        <f>IF(Config!$B$9,W68*3/4,U68)</f>
        <v>4548</v>
      </c>
      <c r="W68" s="10">
        <f>IF(Config!$B$3="low",IF($AC68,VLOOKUP($A68,Prices!$A:$C,3,FALSE),VLOOKUP($A68&amp;"(4)",Prices!$A:$C,3,FALSE)),IF($AC68,VLOOKUP($A68,Prices!$A:$C,2,FALSE),VLOOKUP($A68&amp;"(4)",Prices!$A:$C,2,FALSE)))</f>
        <v>6064</v>
      </c>
      <c r="X68" s="10">
        <f>IF(Config!$B$7,IF(Config!$B$8,V68*0.85+W68*0.15,V68*0.95+W68*0.05),V68)</f>
        <v>4775.3999999999996</v>
      </c>
      <c r="Y68" s="10">
        <f>_xlfn.CEILING.MATH(X68*0.98)</f>
        <v>4680</v>
      </c>
      <c r="Z68" s="11">
        <f>Y68-T68</f>
        <v>-2467.1139999999996</v>
      </c>
      <c r="AA68">
        <v>1.5</v>
      </c>
      <c r="AB68" s="11">
        <f>Z68/AA68</f>
        <v>-1644.7426666666663</v>
      </c>
      <c r="AC68" s="12" t="b">
        <v>0</v>
      </c>
      <c r="AD68" s="10">
        <f>IF(AC68,VLOOKUP(A68,Prices!A:D,4,0),VLOOKUP(A68&amp;"(3)",Prices!A:D,4,0)*0.85+VLOOKUP(A68&amp;"(4)",Prices!A:D,4,0)*0.15)</f>
        <v>16.600000000000001</v>
      </c>
      <c r="AE68" s="33">
        <v>70</v>
      </c>
    </row>
    <row r="69" spans="1:31" x14ac:dyDescent="0.35">
      <c r="A69" s="22" t="s">
        <v>69</v>
      </c>
      <c r="B69" s="8" t="s">
        <v>70</v>
      </c>
      <c r="C69" s="5" t="s">
        <v>27</v>
      </c>
      <c r="D69" s="6"/>
      <c r="E69" s="7"/>
      <c r="F69" s="31">
        <v>1</v>
      </c>
      <c r="G69" s="5">
        <v>4</v>
      </c>
      <c r="H69" s="6">
        <v>0</v>
      </c>
      <c r="I69" s="36">
        <v>0</v>
      </c>
      <c r="J69" s="44">
        <f>IF(ISBLANK(B69),0,IF(Config!$B$2="low", VLOOKUP(B69,Prices!$A:$C,3,FALSE), VLOOKUP(B69,Prices!$A:$C,2,FALSE))*F69)</f>
        <v>2480</v>
      </c>
      <c r="K69" s="45">
        <f>IF(ISBLANK(C69),0,IF(Config!$B$2="low", IF(C69="Crystal dust", VLOOKUP("Enhanced crystal teleport seed",Prices!$A:$C,3,FALSE)/1500, VLOOKUP(C69,Prices!$A:$C,3,FALSE)), IF(C69="Crystal dust", VLOOKUP("Enhanced crystal teleport seed",Prices!$A:$C,2,FALSE)/1500, VLOOKUP(C69,Prices!$A:$C,2,FALSE)))*G69)</f>
        <v>5667.4853333333331</v>
      </c>
      <c r="L69" s="42">
        <f>IF(ISBLANK(D69),0,IF(Config!$B$2="low", IF(D69="Crystal dust", VLOOKUP("Enhanced crystal teleport seed",Prices!$A:$C,3,FALSE)/1500, VLOOKUP(D69,Prices!$A:$C,3,FALSE)), IF(D69="Crystal dust", VLOOKUP("Enhanced crystal teleport seed",Prices!$A:$C,2,FALSE)/1500, VLOOKUP(D69,Prices!$A:$C,2,FALSE)))*H69)</f>
        <v>0</v>
      </c>
      <c r="M69" s="43">
        <f>IF(ISBLANK(E69),0,IF(Config!$B$2="low", IF(E69="Crystal dust", VLOOKUP("Enhanced crystal teleport seed",Prices!$A:$C,3,FALSE)/1500, VLOOKUP(E69,Prices!$A:$C,3,FALSE)), IF(E69="Crystal dust", VLOOKUP("Enhanced crystal teleport seed",Prices!$A:$C,2,FALSE)/1500, VLOOKUP(E69,Prices!$A:$C,2,FALSE)))*I69)</f>
        <v>0</v>
      </c>
      <c r="N69" s="41">
        <f>IF(OR(C69="Ashes",C69="Crystal dust"),K69,K69*0.9)</f>
        <v>5667.4853333333331</v>
      </c>
      <c r="O69" s="42">
        <f>IF(OR(D69="Ashes",D69="Crystal dust"),L69,L69*0.9)</f>
        <v>0</v>
      </c>
      <c r="P69" s="43">
        <f>IF(OR(E69="Ashes",E69="Crystal dust"),M69,M69*0.9)</f>
        <v>0</v>
      </c>
      <c r="Q69" s="10">
        <f>IFERROR(VLOOKUP("Amulet of chemistry",Prices!$A:$C,2,FALSE),"")</f>
        <v>1300</v>
      </c>
      <c r="R69" s="9">
        <f>IF(Config!$B$8,Q69/10,Q69/5)</f>
        <v>130</v>
      </c>
      <c r="S69" s="9">
        <f>IF(Config!$B$8,R69*0.15,R69*0.05)</f>
        <v>19.5</v>
      </c>
      <c r="T69" s="9">
        <f>J69+IF(Config!$B$6,SUM(N69,P69),SUM(K69:M69))+IF(Config!$B$7,S69,0)</f>
        <v>8166.9853333333331</v>
      </c>
      <c r="U69" s="10">
        <f>IF(Config!$B$3="low",IF($AC69,VLOOKUP($A69,Prices!$A:$C,3,FALSE),VLOOKUP($A69&amp;"(3)",Prices!$A:$C,3,FALSE)),IF($AC69,VLOOKUP($A69,Prices!$A:$C,2,FALSE),VLOOKUP($A69&amp;"(3)",Prices!$A:$C,2,FALSE)))</f>
        <v>6185</v>
      </c>
      <c r="V69" s="10">
        <f>IF(Config!$B$9,W69*3/4,U69)</f>
        <v>4638.75</v>
      </c>
      <c r="W69" s="10">
        <f>IF(Config!$B$3="low",IF($AC69,VLOOKUP($A69,Prices!$A:$C,3,FALSE),VLOOKUP($A69&amp;"(4)",Prices!$A:$C,3,FALSE)),IF($AC69,VLOOKUP($A69,Prices!$A:$C,2,FALSE),VLOOKUP($A69&amp;"(4)",Prices!$A:$C,2,FALSE)))</f>
        <v>6185</v>
      </c>
      <c r="X69" s="10">
        <f>IF(Config!$B$7,IF(Config!$B$8,V69*0.85+W69*0.15,V69*0.95+W69*0.05),V69)</f>
        <v>4870.6875</v>
      </c>
      <c r="Y69" s="10">
        <f>_xlfn.CEILING.MATH(X69*0.98)</f>
        <v>4774</v>
      </c>
      <c r="Z69" s="11">
        <f>Y69-T69</f>
        <v>-3392.9853333333331</v>
      </c>
      <c r="AA69">
        <v>2</v>
      </c>
      <c r="AB69" s="11">
        <f>Z69/AA69</f>
        <v>-1696.4926666666665</v>
      </c>
      <c r="AC69" s="12" t="b">
        <v>1</v>
      </c>
      <c r="AD69" s="10">
        <f>IF(AC69,VLOOKUP(A69,Prices!A:D,4,0),VLOOKUP(A69&amp;"(3)",Prices!A:D,4,0)*0.85+VLOOKUP(A69&amp;"(4)",Prices!A:D,4,0)*0.15)</f>
        <v>5888</v>
      </c>
      <c r="AE69" s="33">
        <v>74</v>
      </c>
    </row>
    <row r="70" spans="1:31" x14ac:dyDescent="0.35">
      <c r="A70" s="22" t="s">
        <v>49</v>
      </c>
      <c r="B70" s="8" t="s">
        <v>50</v>
      </c>
      <c r="C70" s="5" t="s">
        <v>27</v>
      </c>
      <c r="D70" s="6"/>
      <c r="E70" s="7"/>
      <c r="F70" s="31">
        <v>1</v>
      </c>
      <c r="G70" s="5">
        <v>3</v>
      </c>
      <c r="H70" s="6">
        <v>0</v>
      </c>
      <c r="I70" s="36">
        <v>0</v>
      </c>
      <c r="J70" s="44">
        <f>IF(ISBLANK(B70),0,IF(Config!$B$2="low", VLOOKUP(B70,Prices!$A:$C,3,FALSE), VLOOKUP(B70,Prices!$A:$C,2,FALSE))*F70)</f>
        <v>2692</v>
      </c>
      <c r="K70" s="45">
        <f>IF(ISBLANK(C70),0,IF(Config!$B$2="low", IF(C70="Crystal dust", VLOOKUP("Enhanced crystal teleport seed",Prices!$A:$C,3,FALSE)/1500, VLOOKUP(C70,Prices!$A:$C,3,FALSE)), IF(C70="Crystal dust", VLOOKUP("Enhanced crystal teleport seed",Prices!$A:$C,2,FALSE)/1500, VLOOKUP(C70,Prices!$A:$C,2,FALSE)))*G70)</f>
        <v>4250.6139999999996</v>
      </c>
      <c r="L70" s="42">
        <f>IF(ISBLANK(D70),0,IF(Config!$B$2="low", IF(D70="Crystal dust", VLOOKUP("Enhanced crystal teleport seed",Prices!$A:$C,3,FALSE)/1500, VLOOKUP(D70,Prices!$A:$C,3,FALSE)), IF(D70="Crystal dust", VLOOKUP("Enhanced crystal teleport seed",Prices!$A:$C,2,FALSE)/1500, VLOOKUP(D70,Prices!$A:$C,2,FALSE)))*H70)</f>
        <v>0</v>
      </c>
      <c r="M70" s="43">
        <f>IF(ISBLANK(E70),0,IF(Config!$B$2="low", IF(E70="Crystal dust", VLOOKUP("Enhanced crystal teleport seed",Prices!$A:$C,3,FALSE)/1500, VLOOKUP(E70,Prices!$A:$C,3,FALSE)), IF(E70="Crystal dust", VLOOKUP("Enhanced crystal teleport seed",Prices!$A:$C,2,FALSE)/1500, VLOOKUP(E70,Prices!$A:$C,2,FALSE)))*I70)</f>
        <v>0</v>
      </c>
      <c r="N70" s="41">
        <f>IF(OR(C70="Ashes",C70="Crystal dust"),K70,K70*0.9)</f>
        <v>4250.6139999999996</v>
      </c>
      <c r="O70" s="42">
        <f>IF(OR(D70="Ashes",D70="Crystal dust"),L70,L70*0.9)</f>
        <v>0</v>
      </c>
      <c r="P70" s="43">
        <f>IF(OR(E70="Ashes",E70="Crystal dust"),M70,M70*0.9)</f>
        <v>0</v>
      </c>
      <c r="Q70" s="10">
        <f>IFERROR(VLOOKUP("Amulet of chemistry",Prices!$A:$C,2,FALSE),"")</f>
        <v>1300</v>
      </c>
      <c r="R70" s="9">
        <f>IF(Config!$B$8,Q70/10,Q70/5)</f>
        <v>130</v>
      </c>
      <c r="S70" s="9">
        <f>IF(Config!$B$8,R70*0.15,R70*0.05)</f>
        <v>19.5</v>
      </c>
      <c r="T70" s="9">
        <f>J70+IF(Config!$B$6,SUM(N70,P70),SUM(K70:M70))+IF(Config!$B$7,S70,0)</f>
        <v>6962.1139999999996</v>
      </c>
      <c r="U70" s="10">
        <f>IF(Config!$B$3="low",IF($AC70,VLOOKUP($A70,Prices!$A:$C,3,FALSE),VLOOKUP($A70&amp;"(3)",Prices!$A:$C,3,FALSE)),IF($AC70,VLOOKUP($A70,Prices!$A:$C,2,FALSE),VLOOKUP($A70&amp;"(3)",Prices!$A:$C,2,FALSE)))</f>
        <v>2275</v>
      </c>
      <c r="V70" s="10">
        <f>IF(Config!$B$9,W70*3/4,U70)</f>
        <v>3731.25</v>
      </c>
      <c r="W70" s="10">
        <f>IF(Config!$B$3="low",IF($AC70,VLOOKUP($A70,Prices!$A:$C,3,FALSE),VLOOKUP($A70&amp;"(4)",Prices!$A:$C,3,FALSE)),IF($AC70,VLOOKUP($A70,Prices!$A:$C,2,FALSE),VLOOKUP($A70&amp;"(4)",Prices!$A:$C,2,FALSE)))</f>
        <v>4975</v>
      </c>
      <c r="X70" s="10">
        <f>IF(Config!$B$7,IF(Config!$B$8,V70*0.85+W70*0.15,V70*0.95+W70*0.05),V70)</f>
        <v>3917.8125</v>
      </c>
      <c r="Y70" s="10">
        <f>_xlfn.CEILING.MATH(X70*0.98)</f>
        <v>3840</v>
      </c>
      <c r="Z70" s="11">
        <f>Y70-T70</f>
        <v>-3122.1139999999996</v>
      </c>
      <c r="AA70" s="55">
        <v>1.5</v>
      </c>
      <c r="AB70" s="11">
        <f>Z70/AA70</f>
        <v>-2081.4093333333331</v>
      </c>
      <c r="AC70" s="12" t="b">
        <v>0</v>
      </c>
      <c r="AD70" s="10">
        <f>IF(AC70,VLOOKUP(A70,Prices!A:D,4,0),VLOOKUP(A70&amp;"(3)",Prices!A:D,4,0)*0.85+VLOOKUP(A70&amp;"(4)",Prices!A:D,4,0)*0.15)</f>
        <v>5.55</v>
      </c>
      <c r="AE70" s="33">
        <v>70</v>
      </c>
    </row>
    <row r="71" spans="1:31" x14ac:dyDescent="0.35">
      <c r="A71" s="22" t="s">
        <v>183</v>
      </c>
      <c r="B71" s="8" t="s">
        <v>84</v>
      </c>
      <c r="C71" s="5" t="s">
        <v>27</v>
      </c>
      <c r="D71" s="6"/>
      <c r="E71" s="7"/>
      <c r="F71" s="31">
        <v>1</v>
      </c>
      <c r="G71" s="5">
        <v>4</v>
      </c>
      <c r="H71" s="6">
        <v>0</v>
      </c>
      <c r="I71" s="36">
        <v>0</v>
      </c>
      <c r="J71" s="44">
        <f>IF(ISBLANK(B71),0,IF(Config!$B$2="low", VLOOKUP(B71,Prices!$A:$C,3,FALSE), VLOOKUP(B71,Prices!$A:$C,2,FALSE))*F71)</f>
        <v>2888</v>
      </c>
      <c r="K71" s="45">
        <f>IF(ISBLANK(C71),0,IF(Config!$B$2="low", IF(C71="Crystal dust", VLOOKUP("Enhanced crystal teleport seed",Prices!$A:$C,3,FALSE)/1500, VLOOKUP(C71,Prices!$A:$C,3,FALSE)), IF(C71="Crystal dust", VLOOKUP("Enhanced crystal teleport seed",Prices!$A:$C,2,FALSE)/1500, VLOOKUP(C71,Prices!$A:$C,2,FALSE)))*G71)</f>
        <v>5667.4853333333331</v>
      </c>
      <c r="L71" s="42">
        <f>IF(ISBLANK(D71),0,IF(Config!$B$2="low", IF(D71="Crystal dust", VLOOKUP("Enhanced crystal teleport seed",Prices!$A:$C,3,FALSE)/1500, VLOOKUP(D71,Prices!$A:$C,3,FALSE)), IF(D71="Crystal dust", VLOOKUP("Enhanced crystal teleport seed",Prices!$A:$C,2,FALSE)/1500, VLOOKUP(D71,Prices!$A:$C,2,FALSE)))*H71)</f>
        <v>0</v>
      </c>
      <c r="M71" s="43">
        <f>IF(ISBLANK(E71),0,IF(Config!$B$2="low", IF(E71="Crystal dust", VLOOKUP("Enhanced crystal teleport seed",Prices!$A:$C,3,FALSE)/1500, VLOOKUP(E71,Prices!$A:$C,3,FALSE)), IF(E71="Crystal dust", VLOOKUP("Enhanced crystal teleport seed",Prices!$A:$C,2,FALSE)/1500, VLOOKUP(E71,Prices!$A:$C,2,FALSE)))*I71)</f>
        <v>0</v>
      </c>
      <c r="N71" s="41">
        <f>IF(OR(C71="Ashes",C71="Crystal dust"),K71,K71*0.9)</f>
        <v>5667.4853333333331</v>
      </c>
      <c r="O71" s="42">
        <f>IF(OR(D71="Ashes",D71="Crystal dust"),L71,L71*0.9)</f>
        <v>0</v>
      </c>
      <c r="P71" s="43">
        <f>IF(OR(E71="Ashes",E71="Crystal dust"),M71,M71*0.9)</f>
        <v>0</v>
      </c>
      <c r="Q71" s="10">
        <f>IFERROR(VLOOKUP("Amulet of chemistry",Prices!$A:$C,2,FALSE),"")</f>
        <v>1300</v>
      </c>
      <c r="R71" s="9">
        <f>IF(Config!$B$8,Q71/10,Q71/5)</f>
        <v>130</v>
      </c>
      <c r="S71" s="9">
        <f>IF(Config!$B$8,R71*0.15,R71*0.05)</f>
        <v>19.5</v>
      </c>
      <c r="T71" s="9">
        <f>J71+IF(Config!$B$6,SUM(N71,P71),SUM(K71:M71))+IF(Config!$B$7,S71,0)</f>
        <v>8574.985333333334</v>
      </c>
      <c r="U71" s="10">
        <f>IF(Config!$B$3="low",IF($AC71,VLOOKUP($A71,Prices!$A:$C,3,FALSE),VLOOKUP($A71&amp;"(3)",Prices!$A:$C,3,FALSE)),IF($AC71,VLOOKUP($A71,Prices!$A:$C,2,FALSE),VLOOKUP($A71&amp;"(3)",Prices!$A:$C,2,FALSE)))</f>
        <v>5337</v>
      </c>
      <c r="V71" s="10">
        <f>IF(Config!$B$9,W71*3/4,U71)</f>
        <v>4002.75</v>
      </c>
      <c r="W71" s="10">
        <f>IF(Config!$B$3="low",IF($AC71,VLOOKUP($A71,Prices!$A:$C,3,FALSE),VLOOKUP($A71&amp;"(4)",Prices!$A:$C,3,FALSE)),IF($AC71,VLOOKUP($A71,Prices!$A:$C,2,FALSE),VLOOKUP($A71&amp;"(4)",Prices!$A:$C,2,FALSE)))</f>
        <v>5337</v>
      </c>
      <c r="X71" s="10">
        <f>IF(Config!$B$7,IF(Config!$B$8,V71*0.85+W71*0.15,V71*0.95+W71*0.05),V71)</f>
        <v>4202.8874999999998</v>
      </c>
      <c r="Y71" s="10">
        <f>_xlfn.CEILING.MATH(X71*0.98)</f>
        <v>4119</v>
      </c>
      <c r="Z71" s="11">
        <f>Y71-T71</f>
        <v>-4455.985333333334</v>
      </c>
      <c r="AA71">
        <v>2</v>
      </c>
      <c r="AB71" s="11">
        <f>Z71/AA71</f>
        <v>-2227.992666666667</v>
      </c>
      <c r="AC71" s="12" t="b">
        <v>1</v>
      </c>
      <c r="AD71" s="10">
        <f>IF(AC71,VLOOKUP(A71,Prices!A:D,4,0),VLOOKUP(A71&amp;"(3)",Prices!A:D,4,0)*0.85+VLOOKUP(A71&amp;"(4)",Prices!A:D,4,0)*0.15)</f>
        <v>30</v>
      </c>
      <c r="AE71" s="33">
        <v>70</v>
      </c>
    </row>
    <row r="72" spans="1:31" x14ac:dyDescent="0.35">
      <c r="A72" s="22" t="s">
        <v>51</v>
      </c>
      <c r="B72" s="8" t="s">
        <v>52</v>
      </c>
      <c r="C72" s="5" t="s">
        <v>27</v>
      </c>
      <c r="D72" s="6"/>
      <c r="E72" s="7"/>
      <c r="F72" s="31">
        <v>1</v>
      </c>
      <c r="G72" s="5">
        <v>4</v>
      </c>
      <c r="H72" s="6">
        <v>0</v>
      </c>
      <c r="I72" s="36">
        <v>0</v>
      </c>
      <c r="J72" s="44">
        <f>IF(ISBLANK(B72),0,IF(Config!$B$2="low", VLOOKUP(B72,Prices!$A:$C,3,FALSE), VLOOKUP(B72,Prices!$A:$C,2,FALSE))*F72)</f>
        <v>3966</v>
      </c>
      <c r="K72" s="45">
        <f>IF(ISBLANK(C72),0,IF(Config!$B$2="low", IF(C72="Crystal dust", VLOOKUP("Enhanced crystal teleport seed",Prices!$A:$C,3,FALSE)/1500, VLOOKUP(C72,Prices!$A:$C,3,FALSE)), IF(C72="Crystal dust", VLOOKUP("Enhanced crystal teleport seed",Prices!$A:$C,2,FALSE)/1500, VLOOKUP(C72,Prices!$A:$C,2,FALSE)))*G72)</f>
        <v>5667.4853333333331</v>
      </c>
      <c r="L72" s="42">
        <f>IF(ISBLANK(D72),0,IF(Config!$B$2="low", IF(D72="Crystal dust", VLOOKUP("Enhanced crystal teleport seed",Prices!$A:$C,3,FALSE)/1500, VLOOKUP(D72,Prices!$A:$C,3,FALSE)), IF(D72="Crystal dust", VLOOKUP("Enhanced crystal teleport seed",Prices!$A:$C,2,FALSE)/1500, VLOOKUP(D72,Prices!$A:$C,2,FALSE)))*H72)</f>
        <v>0</v>
      </c>
      <c r="M72" s="43">
        <f>IF(ISBLANK(E72),0,IF(Config!$B$2="low", IF(E72="Crystal dust", VLOOKUP("Enhanced crystal teleport seed",Prices!$A:$C,3,FALSE)/1500, VLOOKUP(E72,Prices!$A:$C,3,FALSE)), IF(E72="Crystal dust", VLOOKUP("Enhanced crystal teleport seed",Prices!$A:$C,2,FALSE)/1500, VLOOKUP(E72,Prices!$A:$C,2,FALSE)))*I72)</f>
        <v>0</v>
      </c>
      <c r="N72" s="41">
        <f>IF(OR(C72="Ashes",C72="Crystal dust"),K72,K72*0.9)</f>
        <v>5667.4853333333331</v>
      </c>
      <c r="O72" s="42">
        <f>IF(OR(D72="Ashes",D72="Crystal dust"),L72,L72*0.9)</f>
        <v>0</v>
      </c>
      <c r="P72" s="43">
        <f>IF(OR(E72="Ashes",E72="Crystal dust"),M72,M72*0.9)</f>
        <v>0</v>
      </c>
      <c r="Q72" s="10">
        <f>IFERROR(VLOOKUP("Amulet of chemistry",Prices!$A:$C,2,FALSE),"")</f>
        <v>1300</v>
      </c>
      <c r="R72" s="9">
        <f>IF(Config!$B$8,Q72/10,Q72/5)</f>
        <v>130</v>
      </c>
      <c r="S72" s="9">
        <f>IF(Config!$B$8,R72*0.15,R72*0.05)</f>
        <v>19.5</v>
      </c>
      <c r="T72" s="9">
        <f>J72+IF(Config!$B$6,SUM(N72,P72),SUM(K72:M72))+IF(Config!$B$7,S72,0)</f>
        <v>9652.985333333334</v>
      </c>
      <c r="U72" s="10">
        <f>IF(Config!$B$3="low",IF($AC72,VLOOKUP($A72,Prices!$A:$C,3,FALSE),VLOOKUP($A72&amp;"(3)",Prices!$A:$C,3,FALSE)),IF($AC72,VLOOKUP($A72,Prices!$A:$C,2,FALSE),VLOOKUP($A72&amp;"(3)",Prices!$A:$C,2,FALSE)))</f>
        <v>6064</v>
      </c>
      <c r="V72" s="10">
        <f>IF(Config!$B$9,W72*3/4,U72)</f>
        <v>4548</v>
      </c>
      <c r="W72" s="10">
        <f>IF(Config!$B$3="low",IF($AC72,VLOOKUP($A72,Prices!$A:$C,3,FALSE),VLOOKUP($A72&amp;"(4)",Prices!$A:$C,3,FALSE)),IF($AC72,VLOOKUP($A72,Prices!$A:$C,2,FALSE),VLOOKUP($A72&amp;"(4)",Prices!$A:$C,2,FALSE)))</f>
        <v>6064</v>
      </c>
      <c r="X72" s="10">
        <f>IF(Config!$B$7,IF(Config!$B$8,V72*0.85+W72*0.15,V72*0.95+W72*0.05),V72)</f>
        <v>4775.3999999999996</v>
      </c>
      <c r="Y72" s="10">
        <f>_xlfn.CEILING.MATH(X72*0.98)</f>
        <v>4680</v>
      </c>
      <c r="Z72" s="11">
        <f>Y72-T72</f>
        <v>-4972.985333333334</v>
      </c>
      <c r="AA72">
        <v>2</v>
      </c>
      <c r="AB72" s="11">
        <f>Z72/AA72</f>
        <v>-2486.492666666667</v>
      </c>
      <c r="AC72" s="12" t="b">
        <v>1</v>
      </c>
      <c r="AD72" s="10">
        <f>IF(AC72,VLOOKUP(A72,Prices!A:D,4,0),VLOOKUP(A72&amp;"(3)",Prices!A:D,4,0)*0.85+VLOOKUP(A72&amp;"(4)",Prices!A:D,4,0)*0.15)</f>
        <v>105</v>
      </c>
      <c r="AE72" s="33">
        <v>70</v>
      </c>
    </row>
    <row r="73" spans="1:31" x14ac:dyDescent="0.35">
      <c r="A73" s="22" t="s">
        <v>36</v>
      </c>
      <c r="B73" s="8" t="s">
        <v>37</v>
      </c>
      <c r="C73" s="5" t="s">
        <v>27</v>
      </c>
      <c r="D73" s="6"/>
      <c r="E73" s="7"/>
      <c r="F73" s="31">
        <v>1</v>
      </c>
      <c r="G73" s="5">
        <v>4</v>
      </c>
      <c r="H73" s="6">
        <v>0</v>
      </c>
      <c r="I73" s="36">
        <v>0</v>
      </c>
      <c r="J73" s="44">
        <f>IF(ISBLANK(B73),0,IF(Config!$B$2="low", VLOOKUP(B73,Prices!$A:$C,3,FALSE), VLOOKUP(B73,Prices!$A:$C,2,FALSE))*F73)</f>
        <v>14810</v>
      </c>
      <c r="K73" s="45">
        <f>IF(ISBLANK(C73),0,IF(Config!$B$2="low", IF(C73="Crystal dust", VLOOKUP("Enhanced crystal teleport seed",Prices!$A:$C,3,FALSE)/1500, VLOOKUP(C73,Prices!$A:$C,3,FALSE)), IF(C73="Crystal dust", VLOOKUP("Enhanced crystal teleport seed",Prices!$A:$C,2,FALSE)/1500, VLOOKUP(C73,Prices!$A:$C,2,FALSE)))*G73)</f>
        <v>5667.4853333333331</v>
      </c>
      <c r="L73" s="42">
        <f>IF(ISBLANK(D73),0,IF(Config!$B$2="low", IF(D73="Crystal dust", VLOOKUP("Enhanced crystal teleport seed",Prices!$A:$C,3,FALSE)/1500, VLOOKUP(D73,Prices!$A:$C,3,FALSE)), IF(D73="Crystal dust", VLOOKUP("Enhanced crystal teleport seed",Prices!$A:$C,2,FALSE)/1500, VLOOKUP(D73,Prices!$A:$C,2,FALSE)))*H73)</f>
        <v>0</v>
      </c>
      <c r="M73" s="43">
        <f>IF(ISBLANK(E73),0,IF(Config!$B$2="low", IF(E73="Crystal dust", VLOOKUP("Enhanced crystal teleport seed",Prices!$A:$C,3,FALSE)/1500, VLOOKUP(E73,Prices!$A:$C,3,FALSE)), IF(E73="Crystal dust", VLOOKUP("Enhanced crystal teleport seed",Prices!$A:$C,2,FALSE)/1500, VLOOKUP(E73,Prices!$A:$C,2,FALSE)))*I73)</f>
        <v>0</v>
      </c>
      <c r="N73" s="41">
        <f>IF(OR(C73="Ashes",C73="Crystal dust"),K73,K73*0.9)</f>
        <v>5667.4853333333331</v>
      </c>
      <c r="O73" s="42">
        <f>IF(OR(D73="Ashes",D73="Crystal dust"),L73,L73*0.9)</f>
        <v>0</v>
      </c>
      <c r="P73" s="43">
        <f>IF(OR(E73="Ashes",E73="Crystal dust"),M73,M73*0.9)</f>
        <v>0</v>
      </c>
      <c r="Q73" s="10">
        <f>IFERROR(VLOOKUP("Amulet of chemistry",Prices!$A:$C,2,FALSE),"")</f>
        <v>1300</v>
      </c>
      <c r="R73" s="9">
        <f>IF(Config!$B$8,Q73/10,Q73/5)</f>
        <v>130</v>
      </c>
      <c r="S73" s="9">
        <f>IF(Config!$B$8,R73*0.15,R73*0.05)</f>
        <v>19.5</v>
      </c>
      <c r="T73" s="9">
        <f>J73+IF(Config!$B$6,SUM(N73,P73),SUM(K73:M73))+IF(Config!$B$7,S73,0)</f>
        <v>20496.985333333334</v>
      </c>
      <c r="U73" s="10">
        <f>IF(Config!$B$3="low",IF($AC73,VLOOKUP($A73,Prices!$A:$C,3,FALSE),VLOOKUP($A73&amp;"(3)",Prices!$A:$C,3,FALSE)),IF($AC73,VLOOKUP($A73,Prices!$A:$C,2,FALSE),VLOOKUP($A73&amp;"(3)",Prices!$A:$C,2,FALSE)))</f>
        <v>19965</v>
      </c>
      <c r="V73" s="10">
        <f>IF(Config!$B$9,W73*3/4,U73)</f>
        <v>14973.75</v>
      </c>
      <c r="W73" s="10">
        <f>IF(Config!$B$3="low",IF($AC73,VLOOKUP($A73,Prices!$A:$C,3,FALSE),VLOOKUP($A73&amp;"(4)",Prices!$A:$C,3,FALSE)),IF($AC73,VLOOKUP($A73,Prices!$A:$C,2,FALSE),VLOOKUP($A73&amp;"(4)",Prices!$A:$C,2,FALSE)))</f>
        <v>19965</v>
      </c>
      <c r="X73" s="10">
        <f>IF(Config!$B$7,IF(Config!$B$8,V73*0.85+W73*0.15,V73*0.95+W73*0.05),V73)</f>
        <v>15722.4375</v>
      </c>
      <c r="Y73" s="10">
        <f>_xlfn.CEILING.MATH(X73*0.98)</f>
        <v>15408</v>
      </c>
      <c r="Z73" s="11">
        <f>Y73-T73</f>
        <v>-5088.985333333334</v>
      </c>
      <c r="AA73">
        <v>2</v>
      </c>
      <c r="AB73" s="11">
        <f>Z73/AA73</f>
        <v>-2544.492666666667</v>
      </c>
      <c r="AC73" s="12" t="b">
        <v>1</v>
      </c>
      <c r="AD73" s="10">
        <f>IF(AC73,VLOOKUP(A73,Prices!A:D,4,0),VLOOKUP(A73&amp;"(3)",Prices!A:D,4,0)*0.85+VLOOKUP(A73&amp;"(4)",Prices!A:D,4,0)*0.15)</f>
        <v>5834</v>
      </c>
      <c r="AE73" s="33">
        <v>97</v>
      </c>
    </row>
    <row r="74" spans="1:31" x14ac:dyDescent="0.35">
      <c r="A74" s="22" t="s">
        <v>186</v>
      </c>
      <c r="B74" s="8" t="s">
        <v>85</v>
      </c>
      <c r="C74" s="5" t="s">
        <v>27</v>
      </c>
      <c r="D74" s="6"/>
      <c r="E74" s="7"/>
      <c r="F74" s="31">
        <v>1</v>
      </c>
      <c r="G74" s="5">
        <v>4</v>
      </c>
      <c r="H74" s="6">
        <v>0</v>
      </c>
      <c r="I74" s="36">
        <v>0</v>
      </c>
      <c r="J74" s="44">
        <f>IF(ISBLANK(B74),0,IF(Config!$B$2="low", VLOOKUP(B74,Prices!$A:$C,3,FALSE), VLOOKUP(B74,Prices!$A:$C,2,FALSE))*F74)</f>
        <v>3779</v>
      </c>
      <c r="K74" s="45">
        <f>IF(ISBLANK(C74),0,IF(Config!$B$2="low", IF(C74="Crystal dust", VLOOKUP("Enhanced crystal teleport seed",Prices!$A:$C,3,FALSE)/1500, VLOOKUP(C74,Prices!$A:$C,3,FALSE)), IF(C74="Crystal dust", VLOOKUP("Enhanced crystal teleport seed",Prices!$A:$C,2,FALSE)/1500, VLOOKUP(C74,Prices!$A:$C,2,FALSE)))*G74)</f>
        <v>5667.4853333333331</v>
      </c>
      <c r="L74" s="42">
        <f>IF(ISBLANK(D74),0,IF(Config!$B$2="low", IF(D74="Crystal dust", VLOOKUP("Enhanced crystal teleport seed",Prices!$A:$C,3,FALSE)/1500, VLOOKUP(D74,Prices!$A:$C,3,FALSE)), IF(D74="Crystal dust", VLOOKUP("Enhanced crystal teleport seed",Prices!$A:$C,2,FALSE)/1500, VLOOKUP(D74,Prices!$A:$C,2,FALSE)))*H74)</f>
        <v>0</v>
      </c>
      <c r="M74" s="43">
        <f>IF(ISBLANK(E74),0,IF(Config!$B$2="low", IF(E74="Crystal dust", VLOOKUP("Enhanced crystal teleport seed",Prices!$A:$C,3,FALSE)/1500, VLOOKUP(E74,Prices!$A:$C,3,FALSE)), IF(E74="Crystal dust", VLOOKUP("Enhanced crystal teleport seed",Prices!$A:$C,2,FALSE)/1500, VLOOKUP(E74,Prices!$A:$C,2,FALSE)))*I74)</f>
        <v>0</v>
      </c>
      <c r="N74" s="41">
        <f>IF(OR(C74="Ashes",C74="Crystal dust"),K74,K74*0.9)</f>
        <v>5667.4853333333331</v>
      </c>
      <c r="O74" s="42">
        <f>IF(OR(D74="Ashes",D74="Crystal dust"),L74,L74*0.9)</f>
        <v>0</v>
      </c>
      <c r="P74" s="43">
        <f>IF(OR(E74="Ashes",E74="Crystal dust"),M74,M74*0.9)</f>
        <v>0</v>
      </c>
      <c r="Q74" s="10">
        <f>IFERROR(VLOOKUP("Amulet of chemistry",Prices!$A:$C,2,FALSE),"")</f>
        <v>1300</v>
      </c>
      <c r="R74" s="9">
        <f>IF(Config!$B$8,Q74/10,Q74/5)</f>
        <v>130</v>
      </c>
      <c r="S74" s="9">
        <f>IF(Config!$B$8,R74*0.15,R74*0.05)</f>
        <v>19.5</v>
      </c>
      <c r="T74" s="9">
        <f>J74+IF(Config!$B$6,SUM(N74,P74),SUM(K74:M74))+IF(Config!$B$7,S74,0)</f>
        <v>9465.985333333334</v>
      </c>
      <c r="U74" s="10">
        <f>IF(Config!$B$3="low",IF($AC74,VLOOKUP($A74,Prices!$A:$C,3,FALSE),VLOOKUP($A74&amp;"(3)",Prices!$A:$C,3,FALSE)),IF($AC74,VLOOKUP($A74,Prices!$A:$C,2,FALSE),VLOOKUP($A74&amp;"(3)",Prices!$A:$C,2,FALSE)))</f>
        <v>4975</v>
      </c>
      <c r="V74" s="10">
        <f>IF(Config!$B$9,W74*3/4,U74)</f>
        <v>3731.25</v>
      </c>
      <c r="W74" s="10">
        <f>IF(Config!$B$3="low",IF($AC74,VLOOKUP($A74,Prices!$A:$C,3,FALSE),VLOOKUP($A74&amp;"(4)",Prices!$A:$C,3,FALSE)),IF($AC74,VLOOKUP($A74,Prices!$A:$C,2,FALSE),VLOOKUP($A74&amp;"(4)",Prices!$A:$C,2,FALSE)))</f>
        <v>4975</v>
      </c>
      <c r="X74" s="10">
        <f>IF(Config!$B$7,IF(Config!$B$8,V74*0.85+W74*0.15,V74*0.95+W74*0.05),V74)</f>
        <v>3917.8125</v>
      </c>
      <c r="Y74" s="10">
        <f>_xlfn.CEILING.MATH(X74*0.98)</f>
        <v>3840</v>
      </c>
      <c r="Z74" s="11">
        <f>Y74-T74</f>
        <v>-5625.985333333334</v>
      </c>
      <c r="AA74">
        <v>2</v>
      </c>
      <c r="AB74" s="11">
        <f>Z74/AA74</f>
        <v>-2812.992666666667</v>
      </c>
      <c r="AC74" s="12" t="b">
        <v>1</v>
      </c>
      <c r="AD74" s="10">
        <f>IF(AC74,VLOOKUP(A74,Prices!A:D,4,0),VLOOKUP(A74&amp;"(3)",Prices!A:D,4,0)*0.85+VLOOKUP(A74&amp;"(4)",Prices!A:D,4,0)*0.15)</f>
        <v>37</v>
      </c>
      <c r="AE74" s="33">
        <v>70</v>
      </c>
    </row>
    <row r="75" spans="1:31" x14ac:dyDescent="0.35">
      <c r="A75" s="22" t="s">
        <v>32</v>
      </c>
      <c r="B75" s="8" t="s">
        <v>33</v>
      </c>
      <c r="C75" s="5" t="s">
        <v>27</v>
      </c>
      <c r="D75" s="6"/>
      <c r="E75" s="7"/>
      <c r="F75" s="31">
        <v>1</v>
      </c>
      <c r="G75" s="5">
        <v>4</v>
      </c>
      <c r="H75" s="6">
        <v>0</v>
      </c>
      <c r="I75" s="36">
        <v>0</v>
      </c>
      <c r="J75" s="44">
        <f>IF(ISBLANK(B75),0,IF(Config!$B$2="low", VLOOKUP(B75,Prices!$A:$C,3,FALSE), VLOOKUP(B75,Prices!$A:$C,2,FALSE))*F75)</f>
        <v>20167</v>
      </c>
      <c r="K75" s="45">
        <f>IF(ISBLANK(C75),0,IF(Config!$B$2="low", IF(C75="Crystal dust", VLOOKUP("Enhanced crystal teleport seed",Prices!$A:$C,3,FALSE)/1500, VLOOKUP(C75,Prices!$A:$C,3,FALSE)), IF(C75="Crystal dust", VLOOKUP("Enhanced crystal teleport seed",Prices!$A:$C,2,FALSE)/1500, VLOOKUP(C75,Prices!$A:$C,2,FALSE)))*G75)</f>
        <v>5667.4853333333331</v>
      </c>
      <c r="L75" s="42">
        <f>IF(ISBLANK(D75),0,IF(Config!$B$2="low", IF(D75="Crystal dust", VLOOKUP("Enhanced crystal teleport seed",Prices!$A:$C,3,FALSE)/1500, VLOOKUP(D75,Prices!$A:$C,3,FALSE)), IF(D75="Crystal dust", VLOOKUP("Enhanced crystal teleport seed",Prices!$A:$C,2,FALSE)/1500, VLOOKUP(D75,Prices!$A:$C,2,FALSE)))*H75)</f>
        <v>0</v>
      </c>
      <c r="M75" s="43">
        <f>IF(ISBLANK(E75),0,IF(Config!$B$2="low", IF(E75="Crystal dust", VLOOKUP("Enhanced crystal teleport seed",Prices!$A:$C,3,FALSE)/1500, VLOOKUP(E75,Prices!$A:$C,3,FALSE)), IF(E75="Crystal dust", VLOOKUP("Enhanced crystal teleport seed",Prices!$A:$C,2,FALSE)/1500, VLOOKUP(E75,Prices!$A:$C,2,FALSE)))*I75)</f>
        <v>0</v>
      </c>
      <c r="N75" s="41">
        <f>IF(OR(C75="Ashes",C75="Crystal dust"),K75,K75*0.9)</f>
        <v>5667.4853333333331</v>
      </c>
      <c r="O75" s="42">
        <f>IF(OR(D75="Ashes",D75="Crystal dust"),L75,L75*0.9)</f>
        <v>0</v>
      </c>
      <c r="P75" s="43">
        <f>IF(OR(E75="Ashes",E75="Crystal dust"),M75,M75*0.9)</f>
        <v>0</v>
      </c>
      <c r="Q75" s="10">
        <f>IFERROR(VLOOKUP("Amulet of chemistry",Prices!$A:$C,2,FALSE),"")</f>
        <v>1300</v>
      </c>
      <c r="R75" s="9">
        <f>IF(Config!$B$8,Q75/10,Q75/5)</f>
        <v>130</v>
      </c>
      <c r="S75" s="9">
        <f>IF(Config!$B$8,R75*0.15,R75*0.05)</f>
        <v>19.5</v>
      </c>
      <c r="T75" s="9">
        <f>J75+IF(Config!$B$6,SUM(N75,P75),SUM(K75:M75))+IF(Config!$B$7,S75,0)</f>
        <v>25853.985333333334</v>
      </c>
      <c r="U75" s="10">
        <f>IF(Config!$B$3="low",IF($AC75,VLOOKUP($A75,Prices!$A:$C,3,FALSE),VLOOKUP($A75&amp;"(3)",Prices!$A:$C,3,FALSE)),IF($AC75,VLOOKUP($A75,Prices!$A:$C,2,FALSE),VLOOKUP($A75&amp;"(3)",Prices!$A:$C,2,FALSE)))</f>
        <v>24400</v>
      </c>
      <c r="V75" s="10">
        <f>IF(Config!$B$9,W75*3/4,U75)</f>
        <v>18300</v>
      </c>
      <c r="W75" s="10">
        <f>IF(Config!$B$3="low",IF($AC75,VLOOKUP($A75,Prices!$A:$C,3,FALSE),VLOOKUP($A75&amp;"(4)",Prices!$A:$C,3,FALSE)),IF($AC75,VLOOKUP($A75,Prices!$A:$C,2,FALSE),VLOOKUP($A75&amp;"(4)",Prices!$A:$C,2,FALSE)))</f>
        <v>24400</v>
      </c>
      <c r="X75" s="10">
        <f>IF(Config!$B$7,IF(Config!$B$8,V75*0.85+W75*0.15,V75*0.95+W75*0.05),V75)</f>
        <v>19215</v>
      </c>
      <c r="Y75" s="10">
        <f>_xlfn.CEILING.MATH(X75*0.98)</f>
        <v>18831</v>
      </c>
      <c r="Z75" s="11">
        <f>Y75-T75</f>
        <v>-7022.985333333334</v>
      </c>
      <c r="AA75">
        <v>2</v>
      </c>
      <c r="AB75" s="11">
        <f>Z75/AA75</f>
        <v>-3511.492666666667</v>
      </c>
      <c r="AC75" s="12" t="b">
        <v>1</v>
      </c>
      <c r="AD75" s="10">
        <f>IF(AC75,VLOOKUP(A75,Prices!A:D,4,0),VLOOKUP(A75&amp;"(3)",Prices!A:D,4,0)*0.85+VLOOKUP(A75&amp;"(4)",Prices!A:D,4,0)*0.15)</f>
        <v>937</v>
      </c>
      <c r="AE75" s="33">
        <v>86</v>
      </c>
    </row>
    <row r="76" spans="1:31" ht="15" customHeight="1" thickBot="1" x14ac:dyDescent="0.4">
      <c r="A76" s="23" t="s">
        <v>34</v>
      </c>
      <c r="B76" s="24" t="s">
        <v>35</v>
      </c>
      <c r="C76" s="25" t="s">
        <v>27</v>
      </c>
      <c r="D76" s="26"/>
      <c r="E76" s="27"/>
      <c r="F76" s="32">
        <v>1</v>
      </c>
      <c r="G76" s="25">
        <v>4</v>
      </c>
      <c r="H76" s="26">
        <v>0</v>
      </c>
      <c r="I76" s="50">
        <v>0</v>
      </c>
      <c r="J76" s="44">
        <f>IF(ISBLANK(B76),0,IF(Config!$B$2="low", VLOOKUP(B76,Prices!$A:$C,3,FALSE), VLOOKUP(B76,Prices!$A:$C,2,FALSE))*F76)</f>
        <v>20722</v>
      </c>
      <c r="K76" s="45">
        <f>IF(ISBLANK(C76),0,IF(Config!$B$2="low", IF(C76="Crystal dust", VLOOKUP("Enhanced crystal teleport seed",Prices!$A:$C,3,FALSE)/1500, VLOOKUP(C76,Prices!$A:$C,3,FALSE)), IF(C76="Crystal dust", VLOOKUP("Enhanced crystal teleport seed",Prices!$A:$C,2,FALSE)/1500, VLOOKUP(C76,Prices!$A:$C,2,FALSE)))*G76)</f>
        <v>5667.4853333333331</v>
      </c>
      <c r="L76" s="42">
        <f>IF(ISBLANK(D76),0,IF(Config!$B$2="low", IF(D76="Crystal dust", VLOOKUP("Enhanced crystal teleport seed",Prices!$A:$C,3,FALSE)/1500, VLOOKUP(D76,Prices!$A:$C,3,FALSE)), IF(D76="Crystal dust", VLOOKUP("Enhanced crystal teleport seed",Prices!$A:$C,2,FALSE)/1500, VLOOKUP(D76,Prices!$A:$C,2,FALSE)))*H76)</f>
        <v>0</v>
      </c>
      <c r="M76" s="43">
        <f>IF(ISBLANK(E76),0,IF(Config!$B$2="low", IF(E76="Crystal dust", VLOOKUP("Enhanced crystal teleport seed",Prices!$A:$C,3,FALSE)/1500, VLOOKUP(E76,Prices!$A:$C,3,FALSE)), IF(E76="Crystal dust", VLOOKUP("Enhanced crystal teleport seed",Prices!$A:$C,2,FALSE)/1500, VLOOKUP(E76,Prices!$A:$C,2,FALSE)))*I76)</f>
        <v>0</v>
      </c>
      <c r="N76" s="51">
        <f>IF(OR(C76="Ashes",C76="Crystal dust"),K76,K76*0.9)</f>
        <v>5667.4853333333331</v>
      </c>
      <c r="O76" s="52">
        <f>IF(OR(D76="Ashes",D76="Crystal dust"),L76,L76*0.9)</f>
        <v>0</v>
      </c>
      <c r="P76" s="53">
        <f>IF(OR(E76="Ashes",E76="Crystal dust"),M76,M76*0.9)</f>
        <v>0</v>
      </c>
      <c r="Q76" s="28">
        <f>IFERROR(VLOOKUP("Amulet of chemistry",Prices!$A:$C,2,FALSE),"")</f>
        <v>1300</v>
      </c>
      <c r="R76" s="48">
        <f>IF(Config!$B$8,Q76/10,Q76/5)</f>
        <v>130</v>
      </c>
      <c r="S76" s="48">
        <f>IF(Config!$B$8,R76*0.15,R76*0.05)</f>
        <v>19.5</v>
      </c>
      <c r="T76" s="48">
        <f>J76+IF(Config!$B$6,SUM(N76,P76),SUM(K76:M76))+IF(Config!$B$7,S76,0)</f>
        <v>26408.985333333334</v>
      </c>
      <c r="U76" s="10">
        <f>IF(Config!$B$3="low",IF($AC76,VLOOKUP($A76,Prices!$A:$C,3,FALSE),VLOOKUP($A76&amp;"(3)",Prices!$A:$C,3,FALSE)),IF($AC76,VLOOKUP($A76,Prices!$A:$C,2,FALSE),VLOOKUP($A76&amp;"(3)",Prices!$A:$C,2,FALSE)))</f>
        <v>22005</v>
      </c>
      <c r="V76" s="10">
        <f>IF(Config!$B$9,W76*3/4,U76)</f>
        <v>16503.75</v>
      </c>
      <c r="W76" s="10">
        <f>IF(Config!$B$3="low",IF($AC76,VLOOKUP($A76,Prices!$A:$C,3,FALSE),VLOOKUP($A76&amp;"(4)",Prices!$A:$C,3,FALSE)),IF($AC76,VLOOKUP($A76,Prices!$A:$C,2,FALSE),VLOOKUP($A76&amp;"(4)",Prices!$A:$C,2,FALSE)))</f>
        <v>22005</v>
      </c>
      <c r="X76" s="10">
        <f>IF(Config!$B$7,IF(Config!$B$8,V76*0.85+W76*0.15,V76*0.95+W76*0.05),V76)</f>
        <v>17328.9375</v>
      </c>
      <c r="Y76" s="28">
        <f>_xlfn.CEILING.MATH(X76*0.98)</f>
        <v>16983</v>
      </c>
      <c r="Z76" s="49">
        <f>Y76-T76</f>
        <v>-9425.985333333334</v>
      </c>
      <c r="AA76" s="54">
        <v>2</v>
      </c>
      <c r="AB76" s="49">
        <f>Z76/AA76</f>
        <v>-4712.992666666667</v>
      </c>
      <c r="AC76" s="29" t="b">
        <v>1</v>
      </c>
      <c r="AD76" s="28">
        <f>IF(AC76,VLOOKUP(A76,Prices!A:D,4,0),VLOOKUP(A76&amp;"(3)",Prices!A:D,4,0)*0.85+VLOOKUP(A76&amp;"(4)",Prices!A:D,4,0)*0.15)</f>
        <v>972</v>
      </c>
      <c r="AE76" s="34">
        <v>86</v>
      </c>
    </row>
    <row r="77" spans="1:31" ht="15" customHeight="1" thickTop="1" x14ac:dyDescent="0.35"/>
  </sheetData>
  <autoFilter ref="A1:AE76" xr:uid="{00000000-0009-0000-0000-000000000000}">
    <sortState xmlns:xlrd2="http://schemas.microsoft.com/office/spreadsheetml/2017/richdata2" ref="A2:AE76">
      <sortCondition descending="1" ref="AB1:AB76"/>
    </sortState>
  </autoFilter>
  <conditionalFormatting sqref="AB2:AB104857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Z2:Z1048576">
    <cfRule type="cellIs" dxfId="1" priority="1" operator="lessThan">
      <formula>0</formula>
    </cfRule>
    <cfRule type="cellIs" dxfId="0" priority="2" operator="greaterThan">
      <formula>0</formula>
    </cfRule>
  </conditionalFormatting>
  <dataValidations count="1">
    <dataValidation type="list" errorTitle="Invalid Selection" error="Choose &quot;high&quot; or &quot;low&quot;" sqref="AD2:AD76" xr:uid="{00000000-0002-0000-0000-000000000000}">
      <formula1>"high,low"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UpdatePricesFromAPI">
                <anchor moveWithCells="1" sizeWithCells="1">
                  <from>
                    <xdr:col>31</xdr:col>
                    <xdr:colOff>609600</xdr:colOff>
                    <xdr:row>0</xdr:row>
                    <xdr:rowOff>0</xdr:rowOff>
                  </from>
                  <to>
                    <xdr:col>34</xdr:col>
                    <xdr:colOff>6350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523"/>
  <sheetViews>
    <sheetView workbookViewId="0">
      <selection activeCell="F1" sqref="F1"/>
    </sheetView>
  </sheetViews>
  <sheetFormatPr defaultRowHeight="14.5" x14ac:dyDescent="0.35"/>
  <cols>
    <col min="1" max="1" width="41.1796875" bestFit="1" customWidth="1"/>
    <col min="2" max="2" width="17.81640625" bestFit="1" customWidth="1"/>
    <col min="3" max="3" width="19.453125" bestFit="1" customWidth="1"/>
    <col min="4" max="4" width="11" bestFit="1" customWidth="1"/>
    <col min="7" max="7" width="15.54296875" bestFit="1" customWidth="1"/>
  </cols>
  <sheetData>
    <row r="1" spans="1:7" x14ac:dyDescent="0.35">
      <c r="A1" t="s">
        <v>189</v>
      </c>
      <c r="B1" t="s">
        <v>190</v>
      </c>
      <c r="C1" t="s">
        <v>191</v>
      </c>
      <c r="D1" t="s">
        <v>23</v>
      </c>
      <c r="G1" t="s">
        <v>192</v>
      </c>
    </row>
    <row r="2" spans="1:7" x14ac:dyDescent="0.35">
      <c r="A2" t="s">
        <v>193</v>
      </c>
      <c r="B2">
        <v>58000000</v>
      </c>
      <c r="C2">
        <v>54000000</v>
      </c>
      <c r="D2">
        <v>1</v>
      </c>
      <c r="G2" s="37">
        <v>46073.43246527778</v>
      </c>
    </row>
    <row r="3" spans="1:7" x14ac:dyDescent="0.35">
      <c r="A3" t="s">
        <v>194</v>
      </c>
      <c r="B3">
        <v>500000000</v>
      </c>
      <c r="C3">
        <v>2147483647</v>
      </c>
      <c r="D3">
        <v>0</v>
      </c>
    </row>
    <row r="4" spans="1:7" x14ac:dyDescent="0.35">
      <c r="A4" t="s">
        <v>195</v>
      </c>
      <c r="B4">
        <v>1634669420</v>
      </c>
      <c r="C4">
        <v>1617699420</v>
      </c>
      <c r="D4">
        <v>0</v>
      </c>
    </row>
    <row r="5" spans="1:7" x14ac:dyDescent="0.35">
      <c r="A5" t="s">
        <v>196</v>
      </c>
      <c r="B5">
        <v>441458258</v>
      </c>
      <c r="C5">
        <v>430723122</v>
      </c>
      <c r="D5">
        <v>0</v>
      </c>
    </row>
    <row r="6" spans="1:7" x14ac:dyDescent="0.35">
      <c r="A6" t="s">
        <v>197</v>
      </c>
      <c r="B6">
        <v>1094999990</v>
      </c>
      <c r="C6">
        <v>1073345345</v>
      </c>
      <c r="D6">
        <v>1</v>
      </c>
    </row>
    <row r="7" spans="1:7" x14ac:dyDescent="0.35">
      <c r="A7" t="s">
        <v>198</v>
      </c>
      <c r="B7">
        <v>2147483647</v>
      </c>
      <c r="C7">
        <v>2147483647</v>
      </c>
      <c r="D7">
        <v>0</v>
      </c>
    </row>
    <row r="8" spans="1:7" x14ac:dyDescent="0.35">
      <c r="A8" t="s">
        <v>199</v>
      </c>
      <c r="B8">
        <v>2147483647</v>
      </c>
      <c r="C8">
        <v>2147483647</v>
      </c>
      <c r="D8">
        <v>0</v>
      </c>
    </row>
    <row r="9" spans="1:7" x14ac:dyDescent="0.35">
      <c r="A9" t="s">
        <v>200</v>
      </c>
      <c r="B9">
        <v>655000000</v>
      </c>
      <c r="C9">
        <v>636420420</v>
      </c>
      <c r="D9">
        <v>0</v>
      </c>
    </row>
    <row r="10" spans="1:7" x14ac:dyDescent="0.35">
      <c r="A10" t="s">
        <v>201</v>
      </c>
      <c r="B10">
        <v>2147483647</v>
      </c>
      <c r="C10">
        <v>2147483647</v>
      </c>
      <c r="D10">
        <v>0</v>
      </c>
    </row>
    <row r="11" spans="1:7" x14ac:dyDescent="0.35">
      <c r="A11" t="s">
        <v>202</v>
      </c>
      <c r="B11">
        <v>50500000</v>
      </c>
      <c r="C11">
        <v>50111555</v>
      </c>
      <c r="D11">
        <v>0</v>
      </c>
    </row>
    <row r="12" spans="1:7" x14ac:dyDescent="0.35">
      <c r="A12" t="s">
        <v>203</v>
      </c>
      <c r="B12">
        <v>109749000</v>
      </c>
      <c r="C12">
        <v>109217614</v>
      </c>
      <c r="D12">
        <v>2</v>
      </c>
    </row>
    <row r="13" spans="1:7" x14ac:dyDescent="0.35">
      <c r="A13" t="s">
        <v>204</v>
      </c>
      <c r="B13">
        <v>1663000000</v>
      </c>
      <c r="C13">
        <v>1662586155</v>
      </c>
      <c r="D13">
        <v>0</v>
      </c>
    </row>
    <row r="14" spans="1:7" x14ac:dyDescent="0.35">
      <c r="A14" t="s">
        <v>205</v>
      </c>
      <c r="B14">
        <v>19831566</v>
      </c>
      <c r="C14">
        <v>19052009</v>
      </c>
      <c r="D14">
        <v>0</v>
      </c>
    </row>
    <row r="15" spans="1:7" x14ac:dyDescent="0.35">
      <c r="A15" t="s">
        <v>206</v>
      </c>
      <c r="B15">
        <v>2147483647</v>
      </c>
      <c r="C15">
        <v>2147483647</v>
      </c>
      <c r="D15">
        <v>0</v>
      </c>
    </row>
    <row r="16" spans="1:7" x14ac:dyDescent="0.35">
      <c r="A16" t="s">
        <v>207</v>
      </c>
      <c r="B16">
        <v>226198997</v>
      </c>
      <c r="C16">
        <v>218951749</v>
      </c>
      <c r="D16">
        <v>2</v>
      </c>
    </row>
    <row r="17" spans="1:4" x14ac:dyDescent="0.35">
      <c r="A17" t="s">
        <v>208</v>
      </c>
      <c r="B17">
        <v>119455000</v>
      </c>
      <c r="C17">
        <v>116333000</v>
      </c>
      <c r="D17">
        <v>1</v>
      </c>
    </row>
    <row r="18" spans="1:4" x14ac:dyDescent="0.35">
      <c r="A18" t="s">
        <v>209</v>
      </c>
      <c r="B18">
        <v>46088130</v>
      </c>
      <c r="C18">
        <v>45000001</v>
      </c>
      <c r="D18">
        <v>0</v>
      </c>
    </row>
    <row r="19" spans="1:4" x14ac:dyDescent="0.35">
      <c r="A19" t="s">
        <v>210</v>
      </c>
      <c r="B19">
        <v>13490000</v>
      </c>
      <c r="C19">
        <v>12222222</v>
      </c>
      <c r="D19">
        <v>0</v>
      </c>
    </row>
    <row r="20" spans="1:4" x14ac:dyDescent="0.35">
      <c r="A20" t="s">
        <v>211</v>
      </c>
      <c r="B20">
        <v>18850000</v>
      </c>
      <c r="C20">
        <v>18250000</v>
      </c>
      <c r="D20">
        <v>0</v>
      </c>
    </row>
    <row r="21" spans="1:4" x14ac:dyDescent="0.35">
      <c r="A21" t="s">
        <v>212</v>
      </c>
      <c r="B21">
        <v>39933000</v>
      </c>
      <c r="C21">
        <v>38533006</v>
      </c>
      <c r="D21">
        <v>1</v>
      </c>
    </row>
    <row r="22" spans="1:4" x14ac:dyDescent="0.35">
      <c r="A22" t="s">
        <v>213</v>
      </c>
      <c r="B22">
        <v>47898000</v>
      </c>
      <c r="C22">
        <v>46750000</v>
      </c>
      <c r="D22">
        <v>0</v>
      </c>
    </row>
    <row r="23" spans="1:4" x14ac:dyDescent="0.35">
      <c r="A23" t="s">
        <v>214</v>
      </c>
      <c r="B23">
        <v>195240347</v>
      </c>
      <c r="C23">
        <v>187705313</v>
      </c>
      <c r="D23">
        <v>0</v>
      </c>
    </row>
    <row r="24" spans="1:4" x14ac:dyDescent="0.35">
      <c r="A24" t="s">
        <v>215</v>
      </c>
      <c r="B24">
        <v>8750000</v>
      </c>
      <c r="C24">
        <v>8999998</v>
      </c>
      <c r="D24">
        <v>5</v>
      </c>
    </row>
    <row r="25" spans="1:4" x14ac:dyDescent="0.35">
      <c r="A25" t="s">
        <v>216</v>
      </c>
      <c r="B25">
        <v>466564212</v>
      </c>
      <c r="C25">
        <v>457756322</v>
      </c>
      <c r="D25">
        <v>0</v>
      </c>
    </row>
    <row r="26" spans="1:4" x14ac:dyDescent="0.35">
      <c r="A26" t="s">
        <v>217</v>
      </c>
      <c r="B26">
        <v>7817</v>
      </c>
      <c r="C26">
        <v>7050</v>
      </c>
      <c r="D26">
        <v>0</v>
      </c>
    </row>
    <row r="27" spans="1:4" x14ac:dyDescent="0.35">
      <c r="A27" t="s">
        <v>218</v>
      </c>
      <c r="B27">
        <v>1745</v>
      </c>
      <c r="C27">
        <v>1745</v>
      </c>
      <c r="D27">
        <v>360</v>
      </c>
    </row>
    <row r="28" spans="1:4" x14ac:dyDescent="0.35">
      <c r="A28" t="s">
        <v>219</v>
      </c>
      <c r="B28">
        <v>17994101</v>
      </c>
      <c r="C28">
        <v>17506000</v>
      </c>
      <c r="D28">
        <v>29</v>
      </c>
    </row>
    <row r="29" spans="1:4" x14ac:dyDescent="0.35">
      <c r="A29" t="s">
        <v>220</v>
      </c>
      <c r="B29">
        <v>2178</v>
      </c>
      <c r="C29">
        <v>2020</v>
      </c>
      <c r="D29">
        <v>31</v>
      </c>
    </row>
    <row r="30" spans="1:4" x14ac:dyDescent="0.35">
      <c r="A30" t="s">
        <v>221</v>
      </c>
      <c r="B30">
        <v>2074237</v>
      </c>
      <c r="C30">
        <v>2074237</v>
      </c>
      <c r="D30">
        <v>22</v>
      </c>
    </row>
    <row r="31" spans="1:4" x14ac:dyDescent="0.35">
      <c r="A31" t="s">
        <v>222</v>
      </c>
      <c r="B31">
        <v>2172975</v>
      </c>
      <c r="C31">
        <v>2021431</v>
      </c>
      <c r="D31">
        <v>0</v>
      </c>
    </row>
    <row r="32" spans="1:4" x14ac:dyDescent="0.35">
      <c r="A32" t="s">
        <v>223</v>
      </c>
      <c r="B32">
        <v>2150000</v>
      </c>
      <c r="C32">
        <v>2000000</v>
      </c>
      <c r="D32">
        <v>1</v>
      </c>
    </row>
    <row r="33" spans="1:4" x14ac:dyDescent="0.35">
      <c r="A33" t="s">
        <v>224</v>
      </c>
      <c r="B33">
        <v>2095669</v>
      </c>
      <c r="C33">
        <v>2033294</v>
      </c>
      <c r="D33">
        <v>34</v>
      </c>
    </row>
    <row r="34" spans="1:4" x14ac:dyDescent="0.35">
      <c r="A34" t="s">
        <v>225</v>
      </c>
      <c r="B34">
        <v>1364444</v>
      </c>
      <c r="C34">
        <v>1325916</v>
      </c>
      <c r="D34">
        <v>194</v>
      </c>
    </row>
    <row r="35" spans="1:4" x14ac:dyDescent="0.35">
      <c r="A35" t="s">
        <v>226</v>
      </c>
      <c r="B35">
        <v>0</v>
      </c>
      <c r="C35">
        <v>0</v>
      </c>
      <c r="D35">
        <v>0</v>
      </c>
    </row>
    <row r="36" spans="1:4" x14ac:dyDescent="0.35">
      <c r="A36" t="s">
        <v>227</v>
      </c>
      <c r="B36">
        <v>5038749</v>
      </c>
      <c r="C36">
        <v>4860360</v>
      </c>
      <c r="D36">
        <v>12</v>
      </c>
    </row>
    <row r="37" spans="1:4" x14ac:dyDescent="0.35">
      <c r="A37" t="s">
        <v>228</v>
      </c>
      <c r="B37">
        <v>5009603</v>
      </c>
      <c r="C37">
        <v>4880000</v>
      </c>
      <c r="D37">
        <v>20</v>
      </c>
    </row>
    <row r="38" spans="1:4" x14ac:dyDescent="0.35">
      <c r="A38" t="s">
        <v>229</v>
      </c>
      <c r="B38">
        <v>280</v>
      </c>
      <c r="C38">
        <v>181</v>
      </c>
      <c r="D38">
        <v>5</v>
      </c>
    </row>
    <row r="39" spans="1:4" x14ac:dyDescent="0.35">
      <c r="A39" t="s">
        <v>230</v>
      </c>
      <c r="B39">
        <v>83</v>
      </c>
      <c r="C39">
        <v>81</v>
      </c>
      <c r="D39">
        <v>352</v>
      </c>
    </row>
    <row r="40" spans="1:4" x14ac:dyDescent="0.35">
      <c r="A40" t="s">
        <v>231</v>
      </c>
      <c r="B40">
        <v>3738</v>
      </c>
      <c r="C40">
        <v>3575</v>
      </c>
      <c r="D40">
        <v>128</v>
      </c>
    </row>
    <row r="41" spans="1:4" x14ac:dyDescent="0.35">
      <c r="A41" t="s">
        <v>232</v>
      </c>
      <c r="B41">
        <v>55</v>
      </c>
      <c r="C41">
        <v>52</v>
      </c>
      <c r="D41">
        <v>150642</v>
      </c>
    </row>
    <row r="42" spans="1:4" x14ac:dyDescent="0.35">
      <c r="A42" t="s">
        <v>233</v>
      </c>
      <c r="B42">
        <v>170</v>
      </c>
      <c r="C42">
        <v>80</v>
      </c>
      <c r="D42">
        <v>0</v>
      </c>
    </row>
    <row r="43" spans="1:4" x14ac:dyDescent="0.35">
      <c r="A43" t="s">
        <v>234</v>
      </c>
      <c r="B43">
        <v>353</v>
      </c>
      <c r="C43">
        <v>409</v>
      </c>
      <c r="D43">
        <v>0</v>
      </c>
    </row>
    <row r="44" spans="1:4" x14ac:dyDescent="0.35">
      <c r="A44" t="s">
        <v>235</v>
      </c>
      <c r="B44">
        <v>55</v>
      </c>
      <c r="C44">
        <v>48</v>
      </c>
      <c r="D44">
        <v>3552</v>
      </c>
    </row>
    <row r="45" spans="1:4" x14ac:dyDescent="0.35">
      <c r="A45" t="s">
        <v>236</v>
      </c>
      <c r="B45">
        <v>113</v>
      </c>
      <c r="C45">
        <v>112</v>
      </c>
      <c r="D45">
        <v>20128</v>
      </c>
    </row>
    <row r="46" spans="1:4" x14ac:dyDescent="0.35">
      <c r="A46" t="s">
        <v>237</v>
      </c>
      <c r="B46">
        <v>833</v>
      </c>
      <c r="C46">
        <v>800</v>
      </c>
      <c r="D46">
        <v>212</v>
      </c>
    </row>
    <row r="47" spans="1:4" x14ac:dyDescent="0.35">
      <c r="A47" t="s">
        <v>238</v>
      </c>
      <c r="B47">
        <v>2655</v>
      </c>
      <c r="C47">
        <v>2532</v>
      </c>
      <c r="D47">
        <v>848</v>
      </c>
    </row>
    <row r="48" spans="1:4" x14ac:dyDescent="0.35">
      <c r="A48" t="s">
        <v>239</v>
      </c>
      <c r="B48">
        <v>195</v>
      </c>
      <c r="C48">
        <v>193</v>
      </c>
      <c r="D48">
        <v>31572</v>
      </c>
    </row>
    <row r="49" spans="1:4" x14ac:dyDescent="0.35">
      <c r="A49" t="s">
        <v>240</v>
      </c>
      <c r="B49">
        <v>198</v>
      </c>
      <c r="C49">
        <v>80</v>
      </c>
      <c r="D49">
        <v>400</v>
      </c>
    </row>
    <row r="50" spans="1:4" x14ac:dyDescent="0.35">
      <c r="A50" t="s">
        <v>241</v>
      </c>
      <c r="B50">
        <v>443</v>
      </c>
      <c r="C50">
        <v>691</v>
      </c>
      <c r="D50">
        <v>0</v>
      </c>
    </row>
    <row r="51" spans="1:4" x14ac:dyDescent="0.35">
      <c r="A51" t="s">
        <v>242</v>
      </c>
      <c r="B51">
        <v>1164</v>
      </c>
      <c r="C51">
        <v>1109</v>
      </c>
      <c r="D51">
        <v>25</v>
      </c>
    </row>
    <row r="52" spans="1:4" x14ac:dyDescent="0.35">
      <c r="A52" t="s">
        <v>243</v>
      </c>
      <c r="B52">
        <v>200</v>
      </c>
      <c r="C52">
        <v>195</v>
      </c>
      <c r="D52">
        <v>4016</v>
      </c>
    </row>
    <row r="53" spans="1:4" x14ac:dyDescent="0.35">
      <c r="A53" t="s">
        <v>244</v>
      </c>
      <c r="B53">
        <v>4999</v>
      </c>
      <c r="C53">
        <v>854</v>
      </c>
      <c r="D53">
        <v>20</v>
      </c>
    </row>
    <row r="54" spans="1:4" x14ac:dyDescent="0.35">
      <c r="A54" t="s">
        <v>245</v>
      </c>
      <c r="B54">
        <v>335</v>
      </c>
      <c r="C54">
        <v>283</v>
      </c>
      <c r="D54">
        <v>1643</v>
      </c>
    </row>
    <row r="55" spans="1:4" x14ac:dyDescent="0.35">
      <c r="A55" t="s">
        <v>246</v>
      </c>
      <c r="B55">
        <v>1009</v>
      </c>
      <c r="C55">
        <v>501</v>
      </c>
      <c r="D55">
        <v>1</v>
      </c>
    </row>
    <row r="56" spans="1:4" x14ac:dyDescent="0.35">
      <c r="A56" t="s">
        <v>247</v>
      </c>
      <c r="B56">
        <v>535</v>
      </c>
      <c r="C56">
        <v>535</v>
      </c>
      <c r="D56">
        <v>46090</v>
      </c>
    </row>
    <row r="57" spans="1:4" x14ac:dyDescent="0.35">
      <c r="A57" t="s">
        <v>248</v>
      </c>
      <c r="B57">
        <v>2943</v>
      </c>
      <c r="C57">
        <v>2756</v>
      </c>
      <c r="D57">
        <v>321</v>
      </c>
    </row>
    <row r="58" spans="1:4" x14ac:dyDescent="0.35">
      <c r="A58" t="s">
        <v>249</v>
      </c>
      <c r="B58">
        <v>1765</v>
      </c>
      <c r="C58">
        <v>1765</v>
      </c>
      <c r="D58">
        <v>0</v>
      </c>
    </row>
    <row r="59" spans="1:4" x14ac:dyDescent="0.35">
      <c r="A59" t="s">
        <v>250</v>
      </c>
      <c r="B59">
        <v>1500</v>
      </c>
      <c r="C59">
        <v>1427</v>
      </c>
      <c r="D59">
        <v>8</v>
      </c>
    </row>
    <row r="60" spans="1:4" x14ac:dyDescent="0.35">
      <c r="A60" t="s">
        <v>251</v>
      </c>
      <c r="B60">
        <v>1025</v>
      </c>
      <c r="C60">
        <v>1116</v>
      </c>
      <c r="D60">
        <v>0</v>
      </c>
    </row>
    <row r="61" spans="1:4" x14ac:dyDescent="0.35">
      <c r="A61" t="s">
        <v>252</v>
      </c>
      <c r="B61">
        <v>320</v>
      </c>
      <c r="C61">
        <v>368</v>
      </c>
      <c r="D61">
        <v>37</v>
      </c>
    </row>
    <row r="62" spans="1:4" x14ac:dyDescent="0.35">
      <c r="A62" t="s">
        <v>253</v>
      </c>
      <c r="B62">
        <v>236</v>
      </c>
      <c r="C62">
        <v>50</v>
      </c>
      <c r="D62">
        <v>0</v>
      </c>
    </row>
    <row r="63" spans="1:4" x14ac:dyDescent="0.35">
      <c r="A63" t="s">
        <v>254</v>
      </c>
      <c r="B63">
        <v>1909</v>
      </c>
      <c r="C63">
        <v>13</v>
      </c>
      <c r="D63">
        <v>0</v>
      </c>
    </row>
    <row r="64" spans="1:4" x14ac:dyDescent="0.35">
      <c r="A64" t="s">
        <v>255</v>
      </c>
      <c r="B64">
        <v>17500</v>
      </c>
      <c r="C64">
        <v>3550</v>
      </c>
      <c r="D64">
        <v>0</v>
      </c>
    </row>
    <row r="65" spans="1:4" x14ac:dyDescent="0.35">
      <c r="A65" t="s">
        <v>256</v>
      </c>
      <c r="B65">
        <v>44</v>
      </c>
      <c r="C65">
        <v>40</v>
      </c>
      <c r="D65">
        <v>517513</v>
      </c>
    </row>
    <row r="66" spans="1:4" x14ac:dyDescent="0.35">
      <c r="A66" t="s">
        <v>257</v>
      </c>
      <c r="B66">
        <v>198</v>
      </c>
      <c r="C66">
        <v>199</v>
      </c>
      <c r="D66">
        <v>480818</v>
      </c>
    </row>
    <row r="67" spans="1:4" x14ac:dyDescent="0.35">
      <c r="A67" t="s">
        <v>258</v>
      </c>
      <c r="B67">
        <v>42</v>
      </c>
      <c r="C67">
        <v>32</v>
      </c>
      <c r="D67">
        <v>2260</v>
      </c>
    </row>
    <row r="68" spans="1:4" x14ac:dyDescent="0.35">
      <c r="A68" t="s">
        <v>259</v>
      </c>
      <c r="B68">
        <v>328</v>
      </c>
      <c r="C68">
        <v>8</v>
      </c>
      <c r="D68">
        <v>0</v>
      </c>
    </row>
    <row r="69" spans="1:4" x14ac:dyDescent="0.35">
      <c r="A69" t="s">
        <v>260</v>
      </c>
      <c r="B69">
        <v>743</v>
      </c>
      <c r="C69">
        <v>700</v>
      </c>
      <c r="D69">
        <v>0</v>
      </c>
    </row>
    <row r="70" spans="1:4" x14ac:dyDescent="0.35">
      <c r="A70" t="s">
        <v>261</v>
      </c>
      <c r="B70">
        <v>6054</v>
      </c>
      <c r="C70">
        <v>5716</v>
      </c>
      <c r="D70">
        <v>1</v>
      </c>
    </row>
    <row r="71" spans="1:4" x14ac:dyDescent="0.35">
      <c r="A71" t="s">
        <v>262</v>
      </c>
      <c r="B71">
        <v>2200000</v>
      </c>
      <c r="C71">
        <v>1925000</v>
      </c>
      <c r="D71">
        <v>0</v>
      </c>
    </row>
    <row r="72" spans="1:4" x14ac:dyDescent="0.35">
      <c r="A72" t="s">
        <v>263</v>
      </c>
      <c r="B72">
        <v>1932</v>
      </c>
      <c r="C72">
        <v>1956</v>
      </c>
      <c r="D72">
        <v>224</v>
      </c>
    </row>
    <row r="73" spans="1:4" x14ac:dyDescent="0.35">
      <c r="A73" t="s">
        <v>264</v>
      </c>
      <c r="B73">
        <v>10306</v>
      </c>
      <c r="C73">
        <v>10000</v>
      </c>
      <c r="D73">
        <v>1</v>
      </c>
    </row>
    <row r="74" spans="1:4" x14ac:dyDescent="0.35">
      <c r="A74" t="s">
        <v>265</v>
      </c>
      <c r="B74">
        <v>6800</v>
      </c>
      <c r="C74">
        <v>3082</v>
      </c>
      <c r="D74">
        <v>2</v>
      </c>
    </row>
    <row r="75" spans="1:4" x14ac:dyDescent="0.35">
      <c r="A75" t="s">
        <v>266</v>
      </c>
      <c r="B75">
        <v>62687</v>
      </c>
      <c r="C75">
        <v>60000</v>
      </c>
      <c r="D75">
        <v>5</v>
      </c>
    </row>
    <row r="76" spans="1:4" x14ac:dyDescent="0.35">
      <c r="A76" t="s">
        <v>267</v>
      </c>
      <c r="B76">
        <v>179999</v>
      </c>
      <c r="C76">
        <v>72251</v>
      </c>
      <c r="D76">
        <v>0</v>
      </c>
    </row>
    <row r="77" spans="1:4" x14ac:dyDescent="0.35">
      <c r="A77" t="s">
        <v>268</v>
      </c>
      <c r="B77">
        <v>7300</v>
      </c>
      <c r="C77">
        <v>3555</v>
      </c>
      <c r="D77">
        <v>4</v>
      </c>
    </row>
    <row r="78" spans="1:4" x14ac:dyDescent="0.35">
      <c r="A78" t="s">
        <v>269</v>
      </c>
      <c r="B78">
        <v>907</v>
      </c>
      <c r="C78">
        <v>800</v>
      </c>
      <c r="D78">
        <v>2</v>
      </c>
    </row>
    <row r="79" spans="1:4" x14ac:dyDescent="0.35">
      <c r="A79" t="s">
        <v>270</v>
      </c>
      <c r="B79">
        <v>90000</v>
      </c>
      <c r="C79">
        <v>3549</v>
      </c>
      <c r="D79">
        <v>0</v>
      </c>
    </row>
    <row r="80" spans="1:4" x14ac:dyDescent="0.35">
      <c r="A80" t="s">
        <v>271</v>
      </c>
      <c r="B80">
        <v>4392</v>
      </c>
      <c r="C80">
        <v>503</v>
      </c>
      <c r="D80">
        <v>0</v>
      </c>
    </row>
    <row r="81" spans="1:4" x14ac:dyDescent="0.35">
      <c r="A81" t="s">
        <v>272</v>
      </c>
      <c r="B81">
        <v>4823</v>
      </c>
      <c r="C81">
        <v>100</v>
      </c>
      <c r="D81">
        <v>0</v>
      </c>
    </row>
    <row r="82" spans="1:4" x14ac:dyDescent="0.35">
      <c r="A82" t="s">
        <v>273</v>
      </c>
      <c r="B82">
        <v>2063</v>
      </c>
      <c r="C82">
        <v>2048</v>
      </c>
      <c r="D82">
        <v>3</v>
      </c>
    </row>
    <row r="83" spans="1:4" x14ac:dyDescent="0.35">
      <c r="A83" t="s">
        <v>274</v>
      </c>
      <c r="B83">
        <v>1903</v>
      </c>
      <c r="C83">
        <v>1848</v>
      </c>
      <c r="D83">
        <v>2</v>
      </c>
    </row>
    <row r="84" spans="1:4" x14ac:dyDescent="0.35">
      <c r="A84" t="s">
        <v>275</v>
      </c>
      <c r="B84">
        <v>2024</v>
      </c>
      <c r="C84">
        <v>2010</v>
      </c>
      <c r="D84">
        <v>0</v>
      </c>
    </row>
    <row r="85" spans="1:4" x14ac:dyDescent="0.35">
      <c r="A85" t="s">
        <v>276</v>
      </c>
      <c r="B85">
        <v>2005</v>
      </c>
      <c r="C85">
        <v>1939</v>
      </c>
      <c r="D85">
        <v>1</v>
      </c>
    </row>
    <row r="86" spans="1:4" x14ac:dyDescent="0.35">
      <c r="A86" t="s">
        <v>277</v>
      </c>
      <c r="B86">
        <v>1932</v>
      </c>
      <c r="C86">
        <v>1928</v>
      </c>
      <c r="D86">
        <v>1</v>
      </c>
    </row>
    <row r="87" spans="1:4" x14ac:dyDescent="0.35">
      <c r="A87" t="s">
        <v>278</v>
      </c>
      <c r="B87">
        <v>41</v>
      </c>
      <c r="C87">
        <v>41</v>
      </c>
      <c r="D87">
        <v>3031</v>
      </c>
    </row>
    <row r="88" spans="1:4" x14ac:dyDescent="0.35">
      <c r="A88" t="s">
        <v>279</v>
      </c>
      <c r="B88">
        <v>284</v>
      </c>
      <c r="C88">
        <v>266</v>
      </c>
      <c r="D88">
        <v>231</v>
      </c>
    </row>
    <row r="89" spans="1:4" x14ac:dyDescent="0.35">
      <c r="A89" t="s">
        <v>280</v>
      </c>
      <c r="B89">
        <v>149</v>
      </c>
      <c r="C89">
        <v>127</v>
      </c>
      <c r="D89">
        <v>0</v>
      </c>
    </row>
    <row r="90" spans="1:4" x14ac:dyDescent="0.35">
      <c r="A90" t="s">
        <v>281</v>
      </c>
      <c r="B90">
        <v>154</v>
      </c>
      <c r="C90">
        <v>830</v>
      </c>
      <c r="D90">
        <v>0</v>
      </c>
    </row>
    <row r="91" spans="1:4" x14ac:dyDescent="0.35">
      <c r="A91" t="s">
        <v>282</v>
      </c>
      <c r="B91">
        <v>446</v>
      </c>
      <c r="C91">
        <v>427</v>
      </c>
      <c r="D91">
        <v>0</v>
      </c>
    </row>
    <row r="92" spans="1:4" x14ac:dyDescent="0.35">
      <c r="A92" t="s">
        <v>283</v>
      </c>
      <c r="B92">
        <v>7575</v>
      </c>
      <c r="C92">
        <v>7019</v>
      </c>
      <c r="D92">
        <v>414</v>
      </c>
    </row>
    <row r="93" spans="1:4" x14ac:dyDescent="0.35">
      <c r="A93" t="s">
        <v>284</v>
      </c>
      <c r="B93">
        <v>3102</v>
      </c>
      <c r="C93">
        <v>3165</v>
      </c>
      <c r="D93">
        <v>166</v>
      </c>
    </row>
    <row r="94" spans="1:4" x14ac:dyDescent="0.35">
      <c r="A94" t="s">
        <v>285</v>
      </c>
      <c r="B94">
        <v>12566</v>
      </c>
      <c r="C94">
        <v>12301</v>
      </c>
      <c r="D94">
        <v>2</v>
      </c>
    </row>
    <row r="95" spans="1:4" x14ac:dyDescent="0.35">
      <c r="A95" t="s">
        <v>286</v>
      </c>
      <c r="B95">
        <v>8000</v>
      </c>
      <c r="C95">
        <v>3200</v>
      </c>
      <c r="D95">
        <v>2</v>
      </c>
    </row>
    <row r="96" spans="1:4" x14ac:dyDescent="0.35">
      <c r="A96" t="s">
        <v>287</v>
      </c>
      <c r="B96">
        <v>321</v>
      </c>
      <c r="C96">
        <v>321</v>
      </c>
      <c r="D96">
        <v>1162</v>
      </c>
    </row>
    <row r="97" spans="1:4" x14ac:dyDescent="0.35">
      <c r="A97" t="s">
        <v>288</v>
      </c>
      <c r="B97">
        <v>712</v>
      </c>
      <c r="C97">
        <v>774</v>
      </c>
      <c r="D97">
        <v>0</v>
      </c>
    </row>
    <row r="98" spans="1:4" x14ac:dyDescent="0.35">
      <c r="A98" t="s">
        <v>289</v>
      </c>
      <c r="B98">
        <v>686</v>
      </c>
      <c r="C98">
        <v>4379</v>
      </c>
      <c r="D98">
        <v>0</v>
      </c>
    </row>
    <row r="99" spans="1:4" x14ac:dyDescent="0.35">
      <c r="A99" t="s">
        <v>290</v>
      </c>
      <c r="B99">
        <v>1598</v>
      </c>
      <c r="C99">
        <v>100</v>
      </c>
      <c r="D99">
        <v>0</v>
      </c>
    </row>
    <row r="100" spans="1:4" x14ac:dyDescent="0.35">
      <c r="A100" t="s">
        <v>291</v>
      </c>
      <c r="B100">
        <v>1712</v>
      </c>
      <c r="C100">
        <v>1637</v>
      </c>
      <c r="D100">
        <v>262</v>
      </c>
    </row>
    <row r="101" spans="1:4" x14ac:dyDescent="0.35">
      <c r="A101" t="s">
        <v>292</v>
      </c>
      <c r="B101">
        <v>672</v>
      </c>
      <c r="C101">
        <v>672</v>
      </c>
      <c r="D101">
        <v>37</v>
      </c>
    </row>
    <row r="102" spans="1:4" x14ac:dyDescent="0.35">
      <c r="A102" t="s">
        <v>293</v>
      </c>
      <c r="B102">
        <v>941</v>
      </c>
      <c r="C102">
        <v>941</v>
      </c>
      <c r="D102">
        <v>38</v>
      </c>
    </row>
    <row r="103" spans="1:4" x14ac:dyDescent="0.35">
      <c r="A103" t="s">
        <v>294</v>
      </c>
      <c r="B103">
        <v>1900</v>
      </c>
      <c r="C103">
        <v>1600</v>
      </c>
      <c r="D103">
        <v>35</v>
      </c>
    </row>
    <row r="104" spans="1:4" x14ac:dyDescent="0.35">
      <c r="A104" t="s">
        <v>295</v>
      </c>
      <c r="B104">
        <v>9678</v>
      </c>
      <c r="C104">
        <v>9872</v>
      </c>
      <c r="D104">
        <v>3020</v>
      </c>
    </row>
    <row r="105" spans="1:4" x14ac:dyDescent="0.35">
      <c r="A105" t="s">
        <v>296</v>
      </c>
      <c r="B105">
        <v>26125</v>
      </c>
      <c r="C105">
        <v>19800</v>
      </c>
      <c r="D105">
        <v>2</v>
      </c>
    </row>
    <row r="106" spans="1:4" x14ac:dyDescent="0.35">
      <c r="A106" t="s">
        <v>297</v>
      </c>
      <c r="B106">
        <v>9817</v>
      </c>
      <c r="C106">
        <v>9896</v>
      </c>
      <c r="D106">
        <v>0</v>
      </c>
    </row>
    <row r="107" spans="1:4" x14ac:dyDescent="0.35">
      <c r="A107" t="s">
        <v>298</v>
      </c>
      <c r="B107">
        <v>9660</v>
      </c>
      <c r="C107">
        <v>9477</v>
      </c>
      <c r="D107">
        <v>0</v>
      </c>
    </row>
    <row r="108" spans="1:4" x14ac:dyDescent="0.35">
      <c r="A108" t="s">
        <v>299</v>
      </c>
      <c r="B108">
        <v>9799</v>
      </c>
      <c r="C108">
        <v>9742</v>
      </c>
      <c r="D108">
        <v>4</v>
      </c>
    </row>
    <row r="109" spans="1:4" x14ac:dyDescent="0.35">
      <c r="A109" t="s">
        <v>300</v>
      </c>
      <c r="B109">
        <v>9587</v>
      </c>
      <c r="C109">
        <v>9520</v>
      </c>
      <c r="D109">
        <v>1</v>
      </c>
    </row>
    <row r="110" spans="1:4" x14ac:dyDescent="0.35">
      <c r="A110" t="s">
        <v>301</v>
      </c>
      <c r="B110">
        <v>9703</v>
      </c>
      <c r="C110">
        <v>9560</v>
      </c>
      <c r="D110">
        <v>0</v>
      </c>
    </row>
    <row r="111" spans="1:4" x14ac:dyDescent="0.35">
      <c r="A111" t="s">
        <v>302</v>
      </c>
      <c r="B111">
        <v>9921</v>
      </c>
      <c r="C111">
        <v>9525</v>
      </c>
      <c r="D111">
        <v>2</v>
      </c>
    </row>
    <row r="112" spans="1:4" x14ac:dyDescent="0.35">
      <c r="A112" t="s">
        <v>303</v>
      </c>
      <c r="B112">
        <v>3759</v>
      </c>
      <c r="C112">
        <v>3737</v>
      </c>
      <c r="D112">
        <v>291</v>
      </c>
    </row>
    <row r="113" spans="1:4" x14ac:dyDescent="0.35">
      <c r="A113" t="s">
        <v>304</v>
      </c>
      <c r="B113">
        <v>10127</v>
      </c>
      <c r="C113">
        <v>10100</v>
      </c>
      <c r="D113">
        <v>2</v>
      </c>
    </row>
    <row r="114" spans="1:4" x14ac:dyDescent="0.35">
      <c r="A114" t="s">
        <v>305</v>
      </c>
      <c r="B114">
        <v>4550</v>
      </c>
      <c r="C114">
        <v>4450</v>
      </c>
      <c r="D114">
        <v>1</v>
      </c>
    </row>
    <row r="115" spans="1:4" x14ac:dyDescent="0.35">
      <c r="A115" t="s">
        <v>306</v>
      </c>
      <c r="B115">
        <v>4249</v>
      </c>
      <c r="C115">
        <v>3650</v>
      </c>
      <c r="D115">
        <v>33</v>
      </c>
    </row>
    <row r="116" spans="1:4" x14ac:dyDescent="0.35">
      <c r="A116" t="s">
        <v>307</v>
      </c>
      <c r="B116">
        <v>3777</v>
      </c>
      <c r="C116">
        <v>3766</v>
      </c>
      <c r="D116">
        <v>1</v>
      </c>
    </row>
    <row r="117" spans="1:4" x14ac:dyDescent="0.35">
      <c r="A117" t="s">
        <v>308</v>
      </c>
      <c r="B117">
        <v>3538</v>
      </c>
      <c r="C117">
        <v>3489</v>
      </c>
      <c r="D117">
        <v>0</v>
      </c>
    </row>
    <row r="118" spans="1:4" x14ac:dyDescent="0.35">
      <c r="A118" t="s">
        <v>309</v>
      </c>
      <c r="B118">
        <v>1650</v>
      </c>
      <c r="C118">
        <v>1579</v>
      </c>
      <c r="D118">
        <v>174</v>
      </c>
    </row>
    <row r="119" spans="1:4" x14ac:dyDescent="0.35">
      <c r="A119" t="s">
        <v>310</v>
      </c>
      <c r="B119">
        <v>211</v>
      </c>
      <c r="C119">
        <v>193</v>
      </c>
      <c r="D119">
        <v>759</v>
      </c>
    </row>
    <row r="120" spans="1:4" x14ac:dyDescent="0.35">
      <c r="A120" t="s">
        <v>311</v>
      </c>
      <c r="B120">
        <v>21124</v>
      </c>
      <c r="C120">
        <v>17046</v>
      </c>
      <c r="D120">
        <v>7</v>
      </c>
    </row>
    <row r="121" spans="1:4" x14ac:dyDescent="0.35">
      <c r="A121" t="s">
        <v>312</v>
      </c>
      <c r="B121">
        <v>14174</v>
      </c>
      <c r="C121">
        <v>21358</v>
      </c>
      <c r="D121">
        <v>0</v>
      </c>
    </row>
    <row r="122" spans="1:4" x14ac:dyDescent="0.35">
      <c r="A122" t="s">
        <v>313</v>
      </c>
      <c r="B122">
        <v>2899</v>
      </c>
      <c r="C122">
        <v>2899</v>
      </c>
      <c r="D122">
        <v>0</v>
      </c>
    </row>
    <row r="123" spans="1:4" x14ac:dyDescent="0.35">
      <c r="A123" t="s">
        <v>314</v>
      </c>
      <c r="B123">
        <v>3867</v>
      </c>
      <c r="C123">
        <v>3045</v>
      </c>
      <c r="D123">
        <v>1</v>
      </c>
    </row>
    <row r="124" spans="1:4" x14ac:dyDescent="0.35">
      <c r="A124" t="s">
        <v>315</v>
      </c>
      <c r="B124">
        <v>3425</v>
      </c>
      <c r="C124">
        <v>3107</v>
      </c>
      <c r="D124">
        <v>1</v>
      </c>
    </row>
    <row r="125" spans="1:4" x14ac:dyDescent="0.35">
      <c r="A125" t="s">
        <v>316</v>
      </c>
      <c r="B125">
        <v>2980</v>
      </c>
      <c r="C125">
        <v>2810</v>
      </c>
      <c r="D125">
        <v>2</v>
      </c>
    </row>
    <row r="126" spans="1:4" x14ac:dyDescent="0.35">
      <c r="A126" t="s">
        <v>317</v>
      </c>
      <c r="B126">
        <v>3148</v>
      </c>
      <c r="C126">
        <v>3148</v>
      </c>
      <c r="D126">
        <v>1</v>
      </c>
    </row>
    <row r="127" spans="1:4" x14ac:dyDescent="0.35">
      <c r="A127" t="s">
        <v>318</v>
      </c>
      <c r="B127">
        <v>1250</v>
      </c>
      <c r="C127">
        <v>830</v>
      </c>
      <c r="D127">
        <v>22</v>
      </c>
    </row>
    <row r="128" spans="1:4" x14ac:dyDescent="0.35">
      <c r="A128" t="s">
        <v>319</v>
      </c>
      <c r="B128">
        <v>769</v>
      </c>
      <c r="C128">
        <v>711</v>
      </c>
      <c r="D128">
        <v>2</v>
      </c>
    </row>
    <row r="129" spans="1:4" x14ac:dyDescent="0.35">
      <c r="A129" t="s">
        <v>320</v>
      </c>
      <c r="B129">
        <v>1593</v>
      </c>
      <c r="C129">
        <v>2384</v>
      </c>
      <c r="D129">
        <v>0</v>
      </c>
    </row>
    <row r="130" spans="1:4" x14ac:dyDescent="0.35">
      <c r="A130" t="s">
        <v>321</v>
      </c>
      <c r="B130">
        <v>6997</v>
      </c>
      <c r="C130">
        <v>8098</v>
      </c>
      <c r="D130">
        <v>0</v>
      </c>
    </row>
    <row r="131" spans="1:4" x14ac:dyDescent="0.35">
      <c r="A131" t="s">
        <v>322</v>
      </c>
      <c r="B131">
        <v>2065</v>
      </c>
      <c r="C131">
        <v>2065</v>
      </c>
      <c r="D131">
        <v>45</v>
      </c>
    </row>
    <row r="132" spans="1:4" x14ac:dyDescent="0.35">
      <c r="A132" t="s">
        <v>323</v>
      </c>
      <c r="B132">
        <v>1014</v>
      </c>
      <c r="C132">
        <v>1014</v>
      </c>
      <c r="D132">
        <v>11</v>
      </c>
    </row>
    <row r="133" spans="1:4" x14ac:dyDescent="0.35">
      <c r="A133" t="s">
        <v>324</v>
      </c>
      <c r="B133">
        <v>291</v>
      </c>
      <c r="C133">
        <v>291</v>
      </c>
      <c r="D133">
        <v>0</v>
      </c>
    </row>
    <row r="134" spans="1:4" x14ac:dyDescent="0.35">
      <c r="A134" t="s">
        <v>325</v>
      </c>
      <c r="B134">
        <v>35000</v>
      </c>
      <c r="C134">
        <v>21350</v>
      </c>
      <c r="D134">
        <v>2</v>
      </c>
    </row>
    <row r="135" spans="1:4" x14ac:dyDescent="0.35">
      <c r="A135" t="s">
        <v>326</v>
      </c>
      <c r="B135">
        <v>179999</v>
      </c>
      <c r="C135">
        <v>40000</v>
      </c>
      <c r="D135">
        <v>0</v>
      </c>
    </row>
    <row r="136" spans="1:4" x14ac:dyDescent="0.35">
      <c r="A136" t="s">
        <v>327</v>
      </c>
      <c r="B136">
        <v>3240</v>
      </c>
      <c r="C136">
        <v>3051</v>
      </c>
      <c r="D136">
        <v>68</v>
      </c>
    </row>
    <row r="137" spans="1:4" x14ac:dyDescent="0.35">
      <c r="A137" t="s">
        <v>328</v>
      </c>
      <c r="B137">
        <v>2104</v>
      </c>
      <c r="C137">
        <v>2055</v>
      </c>
      <c r="D137">
        <v>62592</v>
      </c>
    </row>
    <row r="138" spans="1:4" x14ac:dyDescent="0.35">
      <c r="A138" t="s">
        <v>329</v>
      </c>
      <c r="B138">
        <v>1604</v>
      </c>
      <c r="C138">
        <v>1672</v>
      </c>
      <c r="D138">
        <v>1</v>
      </c>
    </row>
    <row r="139" spans="1:4" x14ac:dyDescent="0.35">
      <c r="A139" t="s">
        <v>330</v>
      </c>
      <c r="B139">
        <v>128</v>
      </c>
      <c r="C139">
        <v>125</v>
      </c>
      <c r="D139">
        <v>6062</v>
      </c>
    </row>
    <row r="140" spans="1:4" x14ac:dyDescent="0.35">
      <c r="A140" t="s">
        <v>331</v>
      </c>
      <c r="B140">
        <v>591</v>
      </c>
      <c r="C140">
        <v>591</v>
      </c>
      <c r="D140">
        <v>96259</v>
      </c>
    </row>
    <row r="141" spans="1:4" x14ac:dyDescent="0.35">
      <c r="A141" t="s">
        <v>332</v>
      </c>
      <c r="B141">
        <v>117</v>
      </c>
      <c r="C141">
        <v>101</v>
      </c>
      <c r="D141">
        <v>111</v>
      </c>
    </row>
    <row r="142" spans="1:4" x14ac:dyDescent="0.35">
      <c r="A142" t="s">
        <v>333</v>
      </c>
      <c r="B142">
        <v>364</v>
      </c>
      <c r="C142">
        <v>365</v>
      </c>
      <c r="D142">
        <v>199700</v>
      </c>
    </row>
    <row r="143" spans="1:4" x14ac:dyDescent="0.35">
      <c r="A143" t="s">
        <v>334</v>
      </c>
      <c r="B143">
        <v>784</v>
      </c>
      <c r="C143">
        <v>782</v>
      </c>
      <c r="D143">
        <v>143831</v>
      </c>
    </row>
    <row r="144" spans="1:4" x14ac:dyDescent="0.35">
      <c r="A144" t="s">
        <v>335</v>
      </c>
      <c r="B144">
        <v>57789</v>
      </c>
      <c r="C144">
        <v>51467</v>
      </c>
      <c r="D144">
        <v>1</v>
      </c>
    </row>
    <row r="145" spans="1:4" x14ac:dyDescent="0.35">
      <c r="A145" t="s">
        <v>336</v>
      </c>
      <c r="B145">
        <v>480</v>
      </c>
      <c r="C145">
        <v>481</v>
      </c>
      <c r="D145">
        <v>0</v>
      </c>
    </row>
    <row r="146" spans="1:4" x14ac:dyDescent="0.35">
      <c r="A146" t="s">
        <v>337</v>
      </c>
      <c r="B146">
        <v>285</v>
      </c>
      <c r="C146">
        <v>329</v>
      </c>
      <c r="D146">
        <v>0</v>
      </c>
    </row>
    <row r="147" spans="1:4" x14ac:dyDescent="0.35">
      <c r="A147" t="s">
        <v>338</v>
      </c>
      <c r="B147">
        <v>998</v>
      </c>
      <c r="C147">
        <v>112</v>
      </c>
      <c r="D147">
        <v>0</v>
      </c>
    </row>
    <row r="148" spans="1:4" x14ac:dyDescent="0.35">
      <c r="A148" t="s">
        <v>339</v>
      </c>
      <c r="B148">
        <v>221</v>
      </c>
      <c r="C148">
        <v>214</v>
      </c>
      <c r="D148">
        <v>0</v>
      </c>
    </row>
    <row r="149" spans="1:4" x14ac:dyDescent="0.35">
      <c r="A149" t="s">
        <v>340</v>
      </c>
      <c r="B149">
        <v>380</v>
      </c>
      <c r="C149">
        <v>240</v>
      </c>
      <c r="D149">
        <v>13</v>
      </c>
    </row>
    <row r="150" spans="1:4" x14ac:dyDescent="0.35">
      <c r="A150" t="s">
        <v>341</v>
      </c>
      <c r="B150">
        <v>650</v>
      </c>
      <c r="C150">
        <v>467</v>
      </c>
      <c r="D150">
        <v>41</v>
      </c>
    </row>
    <row r="151" spans="1:4" x14ac:dyDescent="0.35">
      <c r="A151" t="s">
        <v>342</v>
      </c>
      <c r="B151">
        <v>4619888</v>
      </c>
      <c r="C151">
        <v>4466113</v>
      </c>
      <c r="D151">
        <v>7</v>
      </c>
    </row>
    <row r="152" spans="1:4" x14ac:dyDescent="0.35">
      <c r="A152" t="s">
        <v>343</v>
      </c>
      <c r="B152">
        <v>368827</v>
      </c>
      <c r="C152">
        <v>368827</v>
      </c>
      <c r="D152">
        <v>18</v>
      </c>
    </row>
    <row r="153" spans="1:4" x14ac:dyDescent="0.35">
      <c r="A153" t="s">
        <v>344</v>
      </c>
      <c r="B153">
        <v>314514</v>
      </c>
      <c r="C153">
        <v>303202</v>
      </c>
      <c r="D153">
        <v>4</v>
      </c>
    </row>
    <row r="154" spans="1:4" x14ac:dyDescent="0.35">
      <c r="A154" t="s">
        <v>345</v>
      </c>
      <c r="B154">
        <v>1788265</v>
      </c>
      <c r="C154">
        <v>1728559</v>
      </c>
      <c r="D154">
        <v>45</v>
      </c>
    </row>
    <row r="155" spans="1:4" x14ac:dyDescent="0.35">
      <c r="A155" t="s">
        <v>346</v>
      </c>
      <c r="B155">
        <v>1771734</v>
      </c>
      <c r="C155">
        <v>1600232</v>
      </c>
      <c r="D155">
        <v>9</v>
      </c>
    </row>
    <row r="156" spans="1:4" x14ac:dyDescent="0.35">
      <c r="A156" t="s">
        <v>347</v>
      </c>
      <c r="B156">
        <v>2185666</v>
      </c>
      <c r="C156">
        <v>2150650</v>
      </c>
      <c r="D156">
        <v>37</v>
      </c>
    </row>
    <row r="157" spans="1:4" x14ac:dyDescent="0.35">
      <c r="A157" t="s">
        <v>348</v>
      </c>
      <c r="B157">
        <v>2140677</v>
      </c>
      <c r="C157">
        <v>2120232</v>
      </c>
      <c r="D157">
        <v>8</v>
      </c>
    </row>
    <row r="158" spans="1:4" x14ac:dyDescent="0.35">
      <c r="A158" t="s">
        <v>349</v>
      </c>
      <c r="B158">
        <v>212962</v>
      </c>
      <c r="C158">
        <v>210560</v>
      </c>
      <c r="D158">
        <v>39</v>
      </c>
    </row>
    <row r="159" spans="1:4" x14ac:dyDescent="0.35">
      <c r="A159" t="s">
        <v>350</v>
      </c>
      <c r="B159">
        <v>170890</v>
      </c>
      <c r="C159">
        <v>170889</v>
      </c>
      <c r="D159">
        <v>12</v>
      </c>
    </row>
    <row r="160" spans="1:4" x14ac:dyDescent="0.35">
      <c r="A160" t="s">
        <v>351</v>
      </c>
      <c r="B160">
        <v>8788</v>
      </c>
      <c r="C160">
        <v>8788</v>
      </c>
      <c r="D160">
        <v>52849</v>
      </c>
    </row>
    <row r="161" spans="1:4" x14ac:dyDescent="0.35">
      <c r="A161" t="s">
        <v>352</v>
      </c>
      <c r="B161">
        <v>1244</v>
      </c>
      <c r="C161">
        <v>1243</v>
      </c>
      <c r="D161">
        <v>51248</v>
      </c>
    </row>
    <row r="162" spans="1:4" x14ac:dyDescent="0.35">
      <c r="A162" t="s">
        <v>353</v>
      </c>
      <c r="B162">
        <v>6</v>
      </c>
      <c r="C162">
        <v>5</v>
      </c>
      <c r="D162">
        <v>1245046</v>
      </c>
    </row>
    <row r="163" spans="1:4" x14ac:dyDescent="0.35">
      <c r="A163" t="s">
        <v>354</v>
      </c>
      <c r="B163">
        <v>165</v>
      </c>
      <c r="C163">
        <v>162</v>
      </c>
      <c r="D163">
        <v>987</v>
      </c>
    </row>
    <row r="164" spans="1:4" x14ac:dyDescent="0.35">
      <c r="A164" t="s">
        <v>355</v>
      </c>
      <c r="B164">
        <v>4</v>
      </c>
      <c r="C164">
        <v>3</v>
      </c>
      <c r="D164">
        <v>7</v>
      </c>
    </row>
    <row r="165" spans="1:4" x14ac:dyDescent="0.35">
      <c r="A165" t="s">
        <v>356</v>
      </c>
      <c r="B165">
        <v>1182</v>
      </c>
      <c r="C165">
        <v>1200</v>
      </c>
      <c r="D165">
        <v>0</v>
      </c>
    </row>
    <row r="166" spans="1:4" x14ac:dyDescent="0.35">
      <c r="A166" t="s">
        <v>63</v>
      </c>
      <c r="B166">
        <v>43489</v>
      </c>
      <c r="C166">
        <v>42400</v>
      </c>
      <c r="D166">
        <v>3017</v>
      </c>
    </row>
    <row r="167" spans="1:4" x14ac:dyDescent="0.35">
      <c r="A167" t="s">
        <v>357</v>
      </c>
      <c r="B167">
        <v>289449</v>
      </c>
      <c r="C167">
        <v>257843</v>
      </c>
      <c r="D167">
        <v>9</v>
      </c>
    </row>
    <row r="168" spans="1:4" x14ac:dyDescent="0.35">
      <c r="A168" t="s">
        <v>358</v>
      </c>
      <c r="B168">
        <v>821</v>
      </c>
      <c r="C168">
        <v>864</v>
      </c>
      <c r="D168">
        <v>0</v>
      </c>
    </row>
    <row r="169" spans="1:4" x14ac:dyDescent="0.35">
      <c r="A169" t="s">
        <v>359</v>
      </c>
      <c r="B169">
        <v>3400</v>
      </c>
      <c r="C169">
        <v>3379</v>
      </c>
      <c r="D169">
        <v>17644</v>
      </c>
    </row>
    <row r="170" spans="1:4" x14ac:dyDescent="0.35">
      <c r="A170" t="s">
        <v>360</v>
      </c>
      <c r="B170">
        <v>181</v>
      </c>
      <c r="C170">
        <v>180</v>
      </c>
      <c r="D170">
        <v>310387</v>
      </c>
    </row>
    <row r="171" spans="1:4" x14ac:dyDescent="0.35">
      <c r="A171" t="s">
        <v>361</v>
      </c>
      <c r="B171">
        <v>404</v>
      </c>
      <c r="C171">
        <v>360</v>
      </c>
      <c r="D171">
        <v>468</v>
      </c>
    </row>
    <row r="172" spans="1:4" x14ac:dyDescent="0.35">
      <c r="A172" t="s">
        <v>362</v>
      </c>
      <c r="B172">
        <v>632</v>
      </c>
      <c r="C172">
        <v>601</v>
      </c>
      <c r="D172">
        <v>0</v>
      </c>
    </row>
    <row r="173" spans="1:4" x14ac:dyDescent="0.35">
      <c r="A173" t="s">
        <v>363</v>
      </c>
      <c r="B173">
        <v>1188</v>
      </c>
      <c r="C173">
        <v>1154</v>
      </c>
      <c r="D173">
        <v>2945</v>
      </c>
    </row>
    <row r="174" spans="1:4" x14ac:dyDescent="0.35">
      <c r="A174" t="s">
        <v>364</v>
      </c>
      <c r="B174">
        <v>232</v>
      </c>
      <c r="C174">
        <v>225</v>
      </c>
      <c r="D174">
        <v>74515</v>
      </c>
    </row>
    <row r="175" spans="1:4" x14ac:dyDescent="0.35">
      <c r="A175" t="s">
        <v>365</v>
      </c>
      <c r="B175">
        <v>199</v>
      </c>
      <c r="C175">
        <v>193</v>
      </c>
      <c r="D175">
        <v>14032</v>
      </c>
    </row>
    <row r="176" spans="1:4" x14ac:dyDescent="0.35">
      <c r="A176" t="s">
        <v>366</v>
      </c>
      <c r="B176">
        <v>250</v>
      </c>
      <c r="C176">
        <v>248</v>
      </c>
      <c r="D176">
        <v>11681</v>
      </c>
    </row>
    <row r="177" spans="1:4" x14ac:dyDescent="0.35">
      <c r="A177" t="s">
        <v>367</v>
      </c>
      <c r="B177">
        <v>244</v>
      </c>
      <c r="C177">
        <v>241</v>
      </c>
      <c r="D177">
        <v>162221</v>
      </c>
    </row>
    <row r="178" spans="1:4" x14ac:dyDescent="0.35">
      <c r="A178" t="s">
        <v>368</v>
      </c>
      <c r="B178">
        <v>426</v>
      </c>
      <c r="C178">
        <v>425</v>
      </c>
      <c r="D178">
        <v>307466</v>
      </c>
    </row>
    <row r="179" spans="1:4" x14ac:dyDescent="0.35">
      <c r="A179" t="s">
        <v>369</v>
      </c>
      <c r="B179">
        <v>464</v>
      </c>
      <c r="C179">
        <v>314</v>
      </c>
      <c r="D179">
        <v>0</v>
      </c>
    </row>
    <row r="180" spans="1:4" x14ac:dyDescent="0.35">
      <c r="A180" t="s">
        <v>370</v>
      </c>
      <c r="B180">
        <v>480</v>
      </c>
      <c r="C180">
        <v>360</v>
      </c>
      <c r="D180">
        <v>0</v>
      </c>
    </row>
    <row r="181" spans="1:4" x14ac:dyDescent="0.35">
      <c r="A181" t="s">
        <v>371</v>
      </c>
      <c r="B181">
        <v>1104</v>
      </c>
      <c r="C181">
        <v>1052</v>
      </c>
      <c r="D181">
        <v>400</v>
      </c>
    </row>
    <row r="182" spans="1:4" x14ac:dyDescent="0.35">
      <c r="A182" t="s">
        <v>372</v>
      </c>
      <c r="B182">
        <v>334</v>
      </c>
      <c r="C182">
        <v>292</v>
      </c>
      <c r="D182">
        <v>0</v>
      </c>
    </row>
    <row r="183" spans="1:4" x14ac:dyDescent="0.35">
      <c r="A183" t="s">
        <v>373</v>
      </c>
      <c r="B183">
        <v>686</v>
      </c>
      <c r="C183">
        <v>650</v>
      </c>
      <c r="D183">
        <v>12360</v>
      </c>
    </row>
    <row r="184" spans="1:4" x14ac:dyDescent="0.35">
      <c r="A184" t="s">
        <v>374</v>
      </c>
      <c r="B184">
        <v>796</v>
      </c>
      <c r="C184">
        <v>5</v>
      </c>
      <c r="D184">
        <v>0</v>
      </c>
    </row>
    <row r="185" spans="1:4" x14ac:dyDescent="0.35">
      <c r="A185" t="s">
        <v>375</v>
      </c>
      <c r="B185">
        <v>703</v>
      </c>
      <c r="C185">
        <v>3904</v>
      </c>
      <c r="D185">
        <v>0</v>
      </c>
    </row>
    <row r="186" spans="1:4" x14ac:dyDescent="0.35">
      <c r="A186" t="s">
        <v>376</v>
      </c>
      <c r="B186">
        <v>1515</v>
      </c>
      <c r="C186">
        <v>82</v>
      </c>
      <c r="D186">
        <v>0</v>
      </c>
    </row>
    <row r="187" spans="1:4" x14ac:dyDescent="0.35">
      <c r="A187" t="s">
        <v>377</v>
      </c>
      <c r="B187">
        <v>470</v>
      </c>
      <c r="C187">
        <v>444</v>
      </c>
      <c r="D187">
        <v>6</v>
      </c>
    </row>
    <row r="188" spans="1:4" x14ac:dyDescent="0.35">
      <c r="A188" t="s">
        <v>378</v>
      </c>
      <c r="B188">
        <v>2586</v>
      </c>
      <c r="C188">
        <v>3900</v>
      </c>
      <c r="D188">
        <v>12</v>
      </c>
    </row>
    <row r="189" spans="1:4" x14ac:dyDescent="0.35">
      <c r="A189" t="s">
        <v>379</v>
      </c>
      <c r="B189">
        <v>646763</v>
      </c>
      <c r="C189">
        <v>618686</v>
      </c>
      <c r="D189">
        <v>38</v>
      </c>
    </row>
    <row r="190" spans="1:4" x14ac:dyDescent="0.35">
      <c r="A190" t="s">
        <v>380</v>
      </c>
      <c r="B190">
        <v>578</v>
      </c>
      <c r="C190">
        <v>578</v>
      </c>
      <c r="D190">
        <v>38</v>
      </c>
    </row>
    <row r="191" spans="1:4" x14ac:dyDescent="0.35">
      <c r="A191" t="s">
        <v>12</v>
      </c>
      <c r="B191">
        <v>1300</v>
      </c>
      <c r="C191">
        <v>1267</v>
      </c>
      <c r="D191">
        <v>1952</v>
      </c>
    </row>
    <row r="192" spans="1:4" x14ac:dyDescent="0.35">
      <c r="A192" t="s">
        <v>381</v>
      </c>
      <c r="B192">
        <v>999</v>
      </c>
      <c r="C192">
        <v>751</v>
      </c>
      <c r="D192">
        <v>137</v>
      </c>
    </row>
    <row r="193" spans="1:4" x14ac:dyDescent="0.35">
      <c r="A193" t="s">
        <v>382</v>
      </c>
      <c r="B193">
        <v>1409</v>
      </c>
      <c r="C193">
        <v>1206</v>
      </c>
      <c r="D193">
        <v>5</v>
      </c>
    </row>
    <row r="194" spans="1:4" x14ac:dyDescent="0.35">
      <c r="A194" t="s">
        <v>383</v>
      </c>
      <c r="B194">
        <v>61889609</v>
      </c>
      <c r="C194">
        <v>59922326</v>
      </c>
      <c r="D194">
        <v>0</v>
      </c>
    </row>
    <row r="195" spans="1:4" x14ac:dyDescent="0.35">
      <c r="A195" t="s">
        <v>384</v>
      </c>
      <c r="B195">
        <v>2323836</v>
      </c>
      <c r="C195">
        <v>2265356</v>
      </c>
      <c r="D195">
        <v>151</v>
      </c>
    </row>
    <row r="196" spans="1:4" x14ac:dyDescent="0.35">
      <c r="A196" t="s">
        <v>385</v>
      </c>
      <c r="B196">
        <v>12288</v>
      </c>
      <c r="C196">
        <v>12054</v>
      </c>
      <c r="D196">
        <v>679</v>
      </c>
    </row>
    <row r="197" spans="1:4" x14ac:dyDescent="0.35">
      <c r="A197" t="s">
        <v>386</v>
      </c>
      <c r="B197">
        <v>59999</v>
      </c>
      <c r="C197">
        <v>57500</v>
      </c>
      <c r="D197">
        <v>0</v>
      </c>
    </row>
    <row r="198" spans="1:4" x14ac:dyDescent="0.35">
      <c r="A198" t="s">
        <v>387</v>
      </c>
      <c r="B198">
        <v>55996</v>
      </c>
      <c r="C198">
        <v>57444</v>
      </c>
      <c r="D198">
        <v>1</v>
      </c>
    </row>
    <row r="199" spans="1:4" x14ac:dyDescent="0.35">
      <c r="A199" t="s">
        <v>388</v>
      </c>
      <c r="B199">
        <v>82098</v>
      </c>
      <c r="C199">
        <v>80284</v>
      </c>
      <c r="D199">
        <v>2</v>
      </c>
    </row>
    <row r="200" spans="1:4" x14ac:dyDescent="0.35">
      <c r="A200" t="s">
        <v>389</v>
      </c>
      <c r="B200">
        <v>12448</v>
      </c>
      <c r="C200">
        <v>12001</v>
      </c>
      <c r="D200">
        <v>180</v>
      </c>
    </row>
    <row r="201" spans="1:4" x14ac:dyDescent="0.35">
      <c r="A201" t="s">
        <v>390</v>
      </c>
      <c r="B201">
        <v>11499</v>
      </c>
      <c r="C201">
        <v>11095</v>
      </c>
      <c r="D201">
        <v>1968</v>
      </c>
    </row>
    <row r="202" spans="1:4" x14ac:dyDescent="0.35">
      <c r="A202" t="s">
        <v>391</v>
      </c>
      <c r="B202">
        <v>515</v>
      </c>
      <c r="C202">
        <v>515</v>
      </c>
      <c r="D202">
        <v>27</v>
      </c>
    </row>
    <row r="203" spans="1:4" x14ac:dyDescent="0.35">
      <c r="A203" t="s">
        <v>392</v>
      </c>
      <c r="B203">
        <v>15740</v>
      </c>
      <c r="C203">
        <v>10694</v>
      </c>
      <c r="D203">
        <v>10</v>
      </c>
    </row>
    <row r="204" spans="1:4" x14ac:dyDescent="0.35">
      <c r="A204" t="s">
        <v>393</v>
      </c>
      <c r="B204">
        <v>2342</v>
      </c>
      <c r="C204">
        <v>2293</v>
      </c>
      <c r="D204">
        <v>2320</v>
      </c>
    </row>
    <row r="205" spans="1:4" x14ac:dyDescent="0.35">
      <c r="A205" t="s">
        <v>394</v>
      </c>
      <c r="B205">
        <v>436868</v>
      </c>
      <c r="C205">
        <v>422836</v>
      </c>
      <c r="D205">
        <v>1</v>
      </c>
    </row>
    <row r="206" spans="1:4" x14ac:dyDescent="0.35">
      <c r="A206" t="s">
        <v>395</v>
      </c>
      <c r="B206">
        <v>62800000</v>
      </c>
      <c r="C206">
        <v>62130044</v>
      </c>
      <c r="D206">
        <v>45</v>
      </c>
    </row>
    <row r="207" spans="1:4" x14ac:dyDescent="0.35">
      <c r="A207" t="s">
        <v>396</v>
      </c>
      <c r="B207">
        <v>1415</v>
      </c>
      <c r="C207">
        <v>1352</v>
      </c>
      <c r="D207">
        <v>574</v>
      </c>
    </row>
    <row r="208" spans="1:4" x14ac:dyDescent="0.35">
      <c r="A208" t="s">
        <v>397</v>
      </c>
      <c r="B208">
        <v>34058</v>
      </c>
      <c r="C208">
        <v>33532</v>
      </c>
      <c r="D208">
        <v>45</v>
      </c>
    </row>
    <row r="209" spans="1:4" x14ac:dyDescent="0.35">
      <c r="A209" t="s">
        <v>398</v>
      </c>
      <c r="B209">
        <v>21755420</v>
      </c>
      <c r="C209">
        <v>21233988</v>
      </c>
      <c r="D209">
        <v>52</v>
      </c>
    </row>
    <row r="210" spans="1:4" x14ac:dyDescent="0.35">
      <c r="A210" t="s">
        <v>98</v>
      </c>
      <c r="B210">
        <v>840</v>
      </c>
      <c r="C210">
        <v>814</v>
      </c>
      <c r="D210">
        <v>45429</v>
      </c>
    </row>
    <row r="211" spans="1:4" x14ac:dyDescent="0.35">
      <c r="A211" t="s">
        <v>399</v>
      </c>
      <c r="B211">
        <v>65000000</v>
      </c>
      <c r="C211">
        <v>63350004</v>
      </c>
      <c r="D211">
        <v>6</v>
      </c>
    </row>
    <row r="212" spans="1:4" x14ac:dyDescent="0.35">
      <c r="A212" t="s">
        <v>400</v>
      </c>
      <c r="B212">
        <v>99847000</v>
      </c>
      <c r="C212">
        <v>97303873</v>
      </c>
      <c r="D212">
        <v>13</v>
      </c>
    </row>
    <row r="213" spans="1:4" x14ac:dyDescent="0.35">
      <c r="A213" t="s">
        <v>401</v>
      </c>
      <c r="B213">
        <v>145689422</v>
      </c>
      <c r="C213">
        <v>141999000</v>
      </c>
      <c r="D213">
        <v>15</v>
      </c>
    </row>
    <row r="214" spans="1:4" x14ac:dyDescent="0.35">
      <c r="A214" t="s">
        <v>402</v>
      </c>
      <c r="B214">
        <v>309335961</v>
      </c>
      <c r="C214">
        <v>307111111</v>
      </c>
      <c r="D214">
        <v>6</v>
      </c>
    </row>
    <row r="215" spans="1:4" x14ac:dyDescent="0.35">
      <c r="A215" t="s">
        <v>403</v>
      </c>
      <c r="B215">
        <v>58</v>
      </c>
      <c r="C215">
        <v>51</v>
      </c>
      <c r="D215">
        <v>985</v>
      </c>
    </row>
    <row r="216" spans="1:4" x14ac:dyDescent="0.35">
      <c r="A216" t="s">
        <v>404</v>
      </c>
      <c r="B216">
        <v>460</v>
      </c>
      <c r="C216">
        <v>460</v>
      </c>
      <c r="D216">
        <v>215</v>
      </c>
    </row>
    <row r="217" spans="1:4" x14ac:dyDescent="0.35">
      <c r="A217" t="s">
        <v>405</v>
      </c>
      <c r="B217">
        <v>3148</v>
      </c>
      <c r="C217">
        <v>4001</v>
      </c>
      <c r="D217">
        <v>12</v>
      </c>
    </row>
    <row r="218" spans="1:4" x14ac:dyDescent="0.35">
      <c r="A218" t="s">
        <v>406</v>
      </c>
      <c r="B218">
        <v>48000</v>
      </c>
      <c r="C218">
        <v>36555</v>
      </c>
      <c r="D218">
        <v>9</v>
      </c>
    </row>
    <row r="219" spans="1:4" x14ac:dyDescent="0.35">
      <c r="A219" t="s">
        <v>407</v>
      </c>
      <c r="B219">
        <v>845</v>
      </c>
      <c r="C219">
        <v>845</v>
      </c>
      <c r="D219">
        <v>3</v>
      </c>
    </row>
    <row r="220" spans="1:4" x14ac:dyDescent="0.35">
      <c r="A220" t="s">
        <v>408</v>
      </c>
      <c r="B220">
        <v>1940</v>
      </c>
      <c r="C220">
        <v>1723</v>
      </c>
      <c r="D220">
        <v>12</v>
      </c>
    </row>
    <row r="221" spans="1:4" x14ac:dyDescent="0.35">
      <c r="A221" t="s">
        <v>89</v>
      </c>
      <c r="B221">
        <v>2684</v>
      </c>
      <c r="C221">
        <v>2679</v>
      </c>
      <c r="D221">
        <v>58</v>
      </c>
    </row>
    <row r="222" spans="1:4" x14ac:dyDescent="0.35">
      <c r="A222" t="s">
        <v>100</v>
      </c>
      <c r="B222">
        <v>3998</v>
      </c>
      <c r="C222">
        <v>3589</v>
      </c>
      <c r="D222">
        <v>1089</v>
      </c>
    </row>
    <row r="223" spans="1:4" x14ac:dyDescent="0.35">
      <c r="A223" t="s">
        <v>409</v>
      </c>
      <c r="B223">
        <v>18797</v>
      </c>
      <c r="C223">
        <v>23053</v>
      </c>
      <c r="D223">
        <v>5</v>
      </c>
    </row>
    <row r="224" spans="1:4" x14ac:dyDescent="0.35">
      <c r="A224" t="s">
        <v>410</v>
      </c>
      <c r="B224">
        <v>23339</v>
      </c>
      <c r="C224">
        <v>22769</v>
      </c>
      <c r="D224">
        <v>2</v>
      </c>
    </row>
    <row r="225" spans="1:4" x14ac:dyDescent="0.35">
      <c r="A225" t="s">
        <v>411</v>
      </c>
      <c r="B225">
        <v>46878</v>
      </c>
      <c r="C225">
        <v>46878</v>
      </c>
      <c r="D225">
        <v>4</v>
      </c>
    </row>
    <row r="226" spans="1:4" x14ac:dyDescent="0.35">
      <c r="A226" t="s">
        <v>412</v>
      </c>
      <c r="B226">
        <v>29118</v>
      </c>
      <c r="C226">
        <v>29118</v>
      </c>
      <c r="D226">
        <v>5</v>
      </c>
    </row>
    <row r="227" spans="1:4" x14ac:dyDescent="0.35">
      <c r="A227" t="s">
        <v>413</v>
      </c>
      <c r="B227">
        <v>59213</v>
      </c>
      <c r="C227">
        <v>59213</v>
      </c>
      <c r="D227">
        <v>7</v>
      </c>
    </row>
    <row r="228" spans="1:4" x14ac:dyDescent="0.35">
      <c r="A228" t="s">
        <v>414</v>
      </c>
      <c r="B228">
        <v>195986</v>
      </c>
      <c r="C228">
        <v>195986</v>
      </c>
      <c r="D228">
        <v>14</v>
      </c>
    </row>
    <row r="229" spans="1:4" x14ac:dyDescent="0.35">
      <c r="A229" t="s">
        <v>415</v>
      </c>
      <c r="B229">
        <v>13055</v>
      </c>
      <c r="C229">
        <v>12700</v>
      </c>
      <c r="D229">
        <v>10</v>
      </c>
    </row>
    <row r="230" spans="1:4" x14ac:dyDescent="0.35">
      <c r="A230" t="s">
        <v>416</v>
      </c>
      <c r="B230">
        <v>93142</v>
      </c>
      <c r="C230">
        <v>91000</v>
      </c>
      <c r="D230">
        <v>18</v>
      </c>
    </row>
    <row r="231" spans="1:4" x14ac:dyDescent="0.35">
      <c r="A231" t="s">
        <v>417</v>
      </c>
      <c r="B231">
        <v>4000</v>
      </c>
      <c r="C231">
        <v>2220</v>
      </c>
      <c r="D231">
        <v>3</v>
      </c>
    </row>
    <row r="232" spans="1:4" x14ac:dyDescent="0.35">
      <c r="A232" t="s">
        <v>418</v>
      </c>
      <c r="B232">
        <v>151145</v>
      </c>
      <c r="C232">
        <v>142377</v>
      </c>
      <c r="D232">
        <v>29</v>
      </c>
    </row>
    <row r="233" spans="1:4" x14ac:dyDescent="0.35">
      <c r="A233" t="s">
        <v>419</v>
      </c>
      <c r="B233">
        <v>128533</v>
      </c>
      <c r="C233">
        <v>117762</v>
      </c>
      <c r="D233">
        <v>13</v>
      </c>
    </row>
    <row r="234" spans="1:4" x14ac:dyDescent="0.35">
      <c r="A234" t="s">
        <v>420</v>
      </c>
      <c r="B234">
        <v>330000</v>
      </c>
      <c r="C234">
        <v>316930</v>
      </c>
      <c r="D234">
        <v>19</v>
      </c>
    </row>
    <row r="235" spans="1:4" x14ac:dyDescent="0.35">
      <c r="A235" t="s">
        <v>421</v>
      </c>
      <c r="B235">
        <v>384010</v>
      </c>
      <c r="C235">
        <v>347000</v>
      </c>
      <c r="D235">
        <v>1</v>
      </c>
    </row>
    <row r="236" spans="1:4" x14ac:dyDescent="0.35">
      <c r="A236" t="s">
        <v>422</v>
      </c>
      <c r="B236">
        <v>520000</v>
      </c>
      <c r="C236">
        <v>507278</v>
      </c>
      <c r="D236">
        <v>5</v>
      </c>
    </row>
    <row r="237" spans="1:4" x14ac:dyDescent="0.35">
      <c r="A237" t="s">
        <v>423</v>
      </c>
      <c r="B237">
        <v>7991250</v>
      </c>
      <c r="C237">
        <v>7989003</v>
      </c>
      <c r="D237">
        <v>19</v>
      </c>
    </row>
    <row r="238" spans="1:4" x14ac:dyDescent="0.35">
      <c r="A238" t="s">
        <v>424</v>
      </c>
      <c r="B238">
        <v>497452</v>
      </c>
      <c r="C238">
        <v>497453</v>
      </c>
      <c r="D238">
        <v>483</v>
      </c>
    </row>
    <row r="239" spans="1:4" x14ac:dyDescent="0.35">
      <c r="A239" t="s">
        <v>90</v>
      </c>
      <c r="B239">
        <v>19</v>
      </c>
      <c r="C239">
        <v>20</v>
      </c>
      <c r="D239">
        <v>1609019</v>
      </c>
    </row>
    <row r="240" spans="1:4" x14ac:dyDescent="0.35">
      <c r="A240" t="s">
        <v>425</v>
      </c>
      <c r="B240">
        <v>47971</v>
      </c>
      <c r="C240">
        <v>48887</v>
      </c>
      <c r="D240">
        <v>1</v>
      </c>
    </row>
    <row r="241" spans="1:4" x14ac:dyDescent="0.35">
      <c r="A241" t="s">
        <v>426</v>
      </c>
      <c r="B241">
        <v>38500000</v>
      </c>
      <c r="C241">
        <v>38094973</v>
      </c>
      <c r="D241">
        <v>10</v>
      </c>
    </row>
    <row r="242" spans="1:4" x14ac:dyDescent="0.35">
      <c r="A242" t="s">
        <v>427</v>
      </c>
      <c r="B242">
        <v>36900000</v>
      </c>
      <c r="C242">
        <v>36805000</v>
      </c>
      <c r="D242">
        <v>0</v>
      </c>
    </row>
    <row r="243" spans="1:4" x14ac:dyDescent="0.35">
      <c r="A243" t="s">
        <v>428</v>
      </c>
      <c r="B243">
        <v>64000</v>
      </c>
      <c r="C243">
        <v>58982</v>
      </c>
      <c r="D243">
        <v>3</v>
      </c>
    </row>
    <row r="244" spans="1:4" x14ac:dyDescent="0.35">
      <c r="A244" t="s">
        <v>429</v>
      </c>
      <c r="B244">
        <v>6499</v>
      </c>
      <c r="C244">
        <v>4510</v>
      </c>
      <c r="D244">
        <v>3</v>
      </c>
    </row>
    <row r="245" spans="1:4" x14ac:dyDescent="0.35">
      <c r="A245" t="s">
        <v>430</v>
      </c>
      <c r="B245">
        <v>3994300</v>
      </c>
      <c r="C245">
        <v>3994007</v>
      </c>
      <c r="D245">
        <v>9</v>
      </c>
    </row>
    <row r="246" spans="1:4" x14ac:dyDescent="0.35">
      <c r="A246" t="s">
        <v>431</v>
      </c>
      <c r="B246">
        <v>8600</v>
      </c>
      <c r="C246">
        <v>8000</v>
      </c>
      <c r="D246">
        <v>10</v>
      </c>
    </row>
    <row r="247" spans="1:4" x14ac:dyDescent="0.35">
      <c r="A247" t="s">
        <v>432</v>
      </c>
      <c r="B247">
        <v>175000</v>
      </c>
      <c r="C247">
        <v>1000</v>
      </c>
      <c r="D247">
        <v>0</v>
      </c>
    </row>
    <row r="248" spans="1:4" x14ac:dyDescent="0.35">
      <c r="A248" t="s">
        <v>433</v>
      </c>
      <c r="B248">
        <v>640</v>
      </c>
      <c r="C248">
        <v>115</v>
      </c>
      <c r="D248">
        <v>0</v>
      </c>
    </row>
    <row r="249" spans="1:4" x14ac:dyDescent="0.35">
      <c r="A249" t="s">
        <v>434</v>
      </c>
      <c r="B249">
        <v>4103</v>
      </c>
      <c r="C249">
        <v>2263</v>
      </c>
      <c r="D249">
        <v>18</v>
      </c>
    </row>
    <row r="250" spans="1:4" x14ac:dyDescent="0.35">
      <c r="A250" t="s">
        <v>435</v>
      </c>
      <c r="B250">
        <v>3035</v>
      </c>
      <c r="C250">
        <v>2638</v>
      </c>
      <c r="D250">
        <v>19</v>
      </c>
    </row>
    <row r="251" spans="1:4" x14ac:dyDescent="0.35">
      <c r="A251" t="s">
        <v>436</v>
      </c>
      <c r="B251">
        <v>6500</v>
      </c>
      <c r="C251">
        <v>2011</v>
      </c>
      <c r="D251">
        <v>13</v>
      </c>
    </row>
    <row r="252" spans="1:4" x14ac:dyDescent="0.35">
      <c r="A252" t="s">
        <v>437</v>
      </c>
      <c r="B252">
        <v>2035</v>
      </c>
      <c r="C252">
        <v>2500</v>
      </c>
      <c r="D252">
        <v>29</v>
      </c>
    </row>
    <row r="253" spans="1:4" x14ac:dyDescent="0.35">
      <c r="A253" t="s">
        <v>438</v>
      </c>
      <c r="B253">
        <v>41755</v>
      </c>
      <c r="C253">
        <v>41055</v>
      </c>
      <c r="D253">
        <v>4</v>
      </c>
    </row>
    <row r="254" spans="1:4" x14ac:dyDescent="0.35">
      <c r="A254" t="s">
        <v>439</v>
      </c>
      <c r="B254">
        <v>41709</v>
      </c>
      <c r="C254">
        <v>39724</v>
      </c>
      <c r="D254">
        <v>2</v>
      </c>
    </row>
    <row r="255" spans="1:4" x14ac:dyDescent="0.35">
      <c r="A255" t="s">
        <v>440</v>
      </c>
      <c r="B255">
        <v>38757</v>
      </c>
      <c r="C255">
        <v>37421</v>
      </c>
      <c r="D255">
        <v>0</v>
      </c>
    </row>
    <row r="256" spans="1:4" x14ac:dyDescent="0.35">
      <c r="A256" t="s">
        <v>441</v>
      </c>
      <c r="B256">
        <v>16200000</v>
      </c>
      <c r="C256">
        <v>15980005</v>
      </c>
      <c r="D256">
        <v>27</v>
      </c>
    </row>
    <row r="257" spans="1:4" x14ac:dyDescent="0.35">
      <c r="A257" t="s">
        <v>442</v>
      </c>
      <c r="B257">
        <v>32352</v>
      </c>
      <c r="C257">
        <v>23500</v>
      </c>
      <c r="D257">
        <v>4</v>
      </c>
    </row>
    <row r="258" spans="1:4" x14ac:dyDescent="0.35">
      <c r="A258" t="s">
        <v>443</v>
      </c>
      <c r="B258">
        <v>42924</v>
      </c>
      <c r="C258">
        <v>34000</v>
      </c>
      <c r="D258">
        <v>6</v>
      </c>
    </row>
    <row r="259" spans="1:4" x14ac:dyDescent="0.35">
      <c r="A259" t="s">
        <v>444</v>
      </c>
      <c r="B259">
        <v>148660</v>
      </c>
      <c r="C259">
        <v>114058</v>
      </c>
      <c r="D259">
        <v>6</v>
      </c>
    </row>
    <row r="260" spans="1:4" x14ac:dyDescent="0.35">
      <c r="A260" t="s">
        <v>445</v>
      </c>
      <c r="B260">
        <v>227714</v>
      </c>
      <c r="C260">
        <v>220992</v>
      </c>
      <c r="D260">
        <v>2</v>
      </c>
    </row>
    <row r="261" spans="1:4" x14ac:dyDescent="0.35">
      <c r="A261" t="s">
        <v>446</v>
      </c>
      <c r="B261">
        <v>61934</v>
      </c>
      <c r="C261">
        <v>59190</v>
      </c>
      <c r="D261">
        <v>107</v>
      </c>
    </row>
    <row r="262" spans="1:4" x14ac:dyDescent="0.35">
      <c r="A262" t="s">
        <v>447</v>
      </c>
      <c r="B262">
        <v>1997789</v>
      </c>
      <c r="C262">
        <v>1996512</v>
      </c>
      <c r="D262">
        <v>33</v>
      </c>
    </row>
    <row r="263" spans="1:4" x14ac:dyDescent="0.35">
      <c r="A263" t="s">
        <v>448</v>
      </c>
      <c r="B263">
        <v>32284</v>
      </c>
      <c r="C263">
        <v>2903</v>
      </c>
      <c r="D263">
        <v>4</v>
      </c>
    </row>
    <row r="264" spans="1:4" x14ac:dyDescent="0.35">
      <c r="A264" t="s">
        <v>449</v>
      </c>
      <c r="B264">
        <v>998000</v>
      </c>
      <c r="C264">
        <v>996505</v>
      </c>
      <c r="D264">
        <v>265</v>
      </c>
    </row>
    <row r="265" spans="1:4" x14ac:dyDescent="0.35">
      <c r="A265" t="s">
        <v>450</v>
      </c>
      <c r="B265">
        <v>26854736</v>
      </c>
      <c r="C265">
        <v>26108577</v>
      </c>
      <c r="D265">
        <v>1</v>
      </c>
    </row>
    <row r="266" spans="1:4" x14ac:dyDescent="0.35">
      <c r="A266" t="s">
        <v>451</v>
      </c>
      <c r="B266">
        <v>40000000</v>
      </c>
      <c r="C266">
        <v>35450000</v>
      </c>
      <c r="D266">
        <v>4</v>
      </c>
    </row>
    <row r="267" spans="1:4" x14ac:dyDescent="0.35">
      <c r="A267" t="s">
        <v>452</v>
      </c>
      <c r="B267">
        <v>1950</v>
      </c>
      <c r="C267">
        <v>1950</v>
      </c>
      <c r="D267">
        <v>58023</v>
      </c>
    </row>
    <row r="268" spans="1:4" x14ac:dyDescent="0.35">
      <c r="A268" t="s">
        <v>453</v>
      </c>
      <c r="B268">
        <v>4837243</v>
      </c>
      <c r="C268">
        <v>4602000</v>
      </c>
      <c r="D268">
        <v>12</v>
      </c>
    </row>
    <row r="269" spans="1:4" x14ac:dyDescent="0.35">
      <c r="A269" t="s">
        <v>454</v>
      </c>
      <c r="B269">
        <v>3100000</v>
      </c>
      <c r="C269">
        <v>2870194</v>
      </c>
      <c r="D269">
        <v>0</v>
      </c>
    </row>
    <row r="270" spans="1:4" x14ac:dyDescent="0.35">
      <c r="A270" t="s">
        <v>455</v>
      </c>
      <c r="B270">
        <v>9690466</v>
      </c>
      <c r="C270">
        <v>9299074</v>
      </c>
      <c r="D270">
        <v>0</v>
      </c>
    </row>
    <row r="271" spans="1:4" x14ac:dyDescent="0.35">
      <c r="A271" t="s">
        <v>456</v>
      </c>
      <c r="B271">
        <v>3080000</v>
      </c>
      <c r="C271">
        <v>2825353</v>
      </c>
      <c r="D271">
        <v>0</v>
      </c>
    </row>
    <row r="272" spans="1:4" x14ac:dyDescent="0.35">
      <c r="A272" t="s">
        <v>457</v>
      </c>
      <c r="B272">
        <v>19720100</v>
      </c>
      <c r="C272">
        <v>18954111</v>
      </c>
      <c r="D272">
        <v>1</v>
      </c>
    </row>
    <row r="273" spans="1:4" x14ac:dyDescent="0.35">
      <c r="A273" t="s">
        <v>458</v>
      </c>
      <c r="B273">
        <v>8200000</v>
      </c>
      <c r="C273">
        <v>7765504</v>
      </c>
      <c r="D273">
        <v>0</v>
      </c>
    </row>
    <row r="274" spans="1:4" x14ac:dyDescent="0.35">
      <c r="A274" t="s">
        <v>459</v>
      </c>
      <c r="B274">
        <v>2860</v>
      </c>
      <c r="C274">
        <v>2855</v>
      </c>
      <c r="D274">
        <v>790</v>
      </c>
    </row>
    <row r="275" spans="1:4" x14ac:dyDescent="0.35">
      <c r="A275" t="s">
        <v>460</v>
      </c>
      <c r="B275">
        <v>0</v>
      </c>
      <c r="C275">
        <v>0</v>
      </c>
      <c r="D275">
        <v>0</v>
      </c>
    </row>
    <row r="276" spans="1:4" x14ac:dyDescent="0.35">
      <c r="A276" t="s">
        <v>461</v>
      </c>
      <c r="B276">
        <v>0</v>
      </c>
      <c r="C276">
        <v>0</v>
      </c>
      <c r="D276">
        <v>0</v>
      </c>
    </row>
    <row r="277" spans="1:4" x14ac:dyDescent="0.35">
      <c r="A277" t="s">
        <v>462</v>
      </c>
      <c r="B277">
        <v>0</v>
      </c>
      <c r="C277">
        <v>0</v>
      </c>
      <c r="D277">
        <v>0</v>
      </c>
    </row>
    <row r="278" spans="1:4" x14ac:dyDescent="0.35">
      <c r="A278" t="s">
        <v>463</v>
      </c>
      <c r="B278">
        <v>88</v>
      </c>
      <c r="C278">
        <v>77</v>
      </c>
      <c r="D278">
        <v>15</v>
      </c>
    </row>
    <row r="279" spans="1:4" x14ac:dyDescent="0.35">
      <c r="A279" t="s">
        <v>464</v>
      </c>
      <c r="B279">
        <v>898</v>
      </c>
      <c r="C279">
        <v>750</v>
      </c>
      <c r="D279">
        <v>2462</v>
      </c>
    </row>
    <row r="280" spans="1:4" x14ac:dyDescent="0.35">
      <c r="A280" t="s">
        <v>465</v>
      </c>
      <c r="B280">
        <v>9000</v>
      </c>
      <c r="C280">
        <v>3340</v>
      </c>
      <c r="D280">
        <v>0</v>
      </c>
    </row>
    <row r="281" spans="1:4" x14ac:dyDescent="0.35">
      <c r="A281" t="s">
        <v>466</v>
      </c>
      <c r="B281">
        <v>836</v>
      </c>
      <c r="C281">
        <v>700</v>
      </c>
      <c r="D281">
        <v>0</v>
      </c>
    </row>
    <row r="282" spans="1:4" x14ac:dyDescent="0.35">
      <c r="A282" t="s">
        <v>467</v>
      </c>
      <c r="B282">
        <v>1797</v>
      </c>
      <c r="C282">
        <v>1300</v>
      </c>
      <c r="D282">
        <v>21</v>
      </c>
    </row>
    <row r="283" spans="1:4" x14ac:dyDescent="0.35">
      <c r="A283" t="s">
        <v>468</v>
      </c>
      <c r="B283">
        <v>2543</v>
      </c>
      <c r="C283">
        <v>2000</v>
      </c>
      <c r="D283">
        <v>4</v>
      </c>
    </row>
    <row r="284" spans="1:4" x14ac:dyDescent="0.35">
      <c r="A284" t="s">
        <v>469</v>
      </c>
      <c r="B284">
        <v>4609</v>
      </c>
      <c r="C284">
        <v>3756</v>
      </c>
      <c r="D284">
        <v>2</v>
      </c>
    </row>
    <row r="285" spans="1:4" x14ac:dyDescent="0.35">
      <c r="A285" t="s">
        <v>87</v>
      </c>
      <c r="B285">
        <v>6488</v>
      </c>
      <c r="C285">
        <v>6221</v>
      </c>
      <c r="D285">
        <v>471</v>
      </c>
    </row>
    <row r="286" spans="1:4" x14ac:dyDescent="0.35">
      <c r="A286" t="s">
        <v>470</v>
      </c>
      <c r="B286">
        <v>2728</v>
      </c>
      <c r="C286">
        <v>2605</v>
      </c>
      <c r="D286">
        <v>34</v>
      </c>
    </row>
    <row r="287" spans="1:4" x14ac:dyDescent="0.35">
      <c r="A287" t="s">
        <v>471</v>
      </c>
      <c r="B287">
        <v>4828</v>
      </c>
      <c r="C287">
        <v>4365</v>
      </c>
      <c r="D287">
        <v>27</v>
      </c>
    </row>
    <row r="288" spans="1:4" x14ac:dyDescent="0.35">
      <c r="A288" t="s">
        <v>43</v>
      </c>
      <c r="B288">
        <v>7705</v>
      </c>
      <c r="C288">
        <v>7451</v>
      </c>
      <c r="D288">
        <v>0</v>
      </c>
    </row>
    <row r="289" spans="1:4" x14ac:dyDescent="0.35">
      <c r="A289" t="s">
        <v>48</v>
      </c>
      <c r="B289">
        <v>9720</v>
      </c>
      <c r="C289">
        <v>9576</v>
      </c>
      <c r="D289">
        <v>2903</v>
      </c>
    </row>
    <row r="290" spans="1:4" x14ac:dyDescent="0.35">
      <c r="A290" t="s">
        <v>472</v>
      </c>
      <c r="B290">
        <v>1065</v>
      </c>
      <c r="C290">
        <v>79996</v>
      </c>
      <c r="D290">
        <v>0</v>
      </c>
    </row>
    <row r="291" spans="1:4" x14ac:dyDescent="0.35">
      <c r="A291" t="s">
        <v>473</v>
      </c>
      <c r="B291">
        <v>306</v>
      </c>
      <c r="C291">
        <v>5</v>
      </c>
      <c r="D291">
        <v>0</v>
      </c>
    </row>
    <row r="292" spans="1:4" x14ac:dyDescent="0.35">
      <c r="A292" t="s">
        <v>474</v>
      </c>
      <c r="B292">
        <v>472</v>
      </c>
      <c r="C292">
        <v>408</v>
      </c>
      <c r="D292">
        <v>0</v>
      </c>
    </row>
    <row r="293" spans="1:4" x14ac:dyDescent="0.35">
      <c r="A293" t="s">
        <v>475</v>
      </c>
      <c r="B293">
        <v>980</v>
      </c>
      <c r="C293">
        <v>815</v>
      </c>
      <c r="D293">
        <v>0</v>
      </c>
    </row>
    <row r="294" spans="1:4" x14ac:dyDescent="0.35">
      <c r="A294" t="s">
        <v>476</v>
      </c>
      <c r="B294">
        <v>1904</v>
      </c>
      <c r="C294">
        <v>1069</v>
      </c>
      <c r="D294">
        <v>0</v>
      </c>
    </row>
    <row r="295" spans="1:4" x14ac:dyDescent="0.35">
      <c r="A295" t="s">
        <v>176</v>
      </c>
      <c r="B295">
        <v>1755</v>
      </c>
      <c r="C295">
        <v>1689</v>
      </c>
      <c r="D295">
        <v>74</v>
      </c>
    </row>
    <row r="296" spans="1:4" x14ac:dyDescent="0.35">
      <c r="A296" t="s">
        <v>477</v>
      </c>
      <c r="B296">
        <v>7899</v>
      </c>
      <c r="C296">
        <v>1059</v>
      </c>
      <c r="D296">
        <v>10</v>
      </c>
    </row>
    <row r="297" spans="1:4" x14ac:dyDescent="0.35">
      <c r="A297" t="s">
        <v>478</v>
      </c>
      <c r="B297">
        <v>2900</v>
      </c>
      <c r="C297">
        <v>2193</v>
      </c>
      <c r="D297">
        <v>0</v>
      </c>
    </row>
    <row r="298" spans="1:4" x14ac:dyDescent="0.35">
      <c r="A298" t="s">
        <v>92</v>
      </c>
      <c r="B298">
        <v>3521</v>
      </c>
      <c r="C298">
        <v>3441</v>
      </c>
      <c r="D298">
        <v>458</v>
      </c>
    </row>
    <row r="299" spans="1:4" x14ac:dyDescent="0.35">
      <c r="A299" t="s">
        <v>107</v>
      </c>
      <c r="B299">
        <v>5065</v>
      </c>
      <c r="C299">
        <v>4910</v>
      </c>
      <c r="D299">
        <v>1667</v>
      </c>
    </row>
    <row r="300" spans="1:4" x14ac:dyDescent="0.35">
      <c r="A300" t="s">
        <v>479</v>
      </c>
      <c r="B300">
        <v>205</v>
      </c>
      <c r="C300">
        <v>205</v>
      </c>
      <c r="D300">
        <v>0</v>
      </c>
    </row>
    <row r="301" spans="1:4" x14ac:dyDescent="0.35">
      <c r="A301" t="s">
        <v>480</v>
      </c>
      <c r="B301">
        <v>919</v>
      </c>
      <c r="C301">
        <v>149</v>
      </c>
      <c r="D301">
        <v>0</v>
      </c>
    </row>
    <row r="302" spans="1:4" x14ac:dyDescent="0.35">
      <c r="A302" t="s">
        <v>481</v>
      </c>
      <c r="B302">
        <v>336</v>
      </c>
      <c r="C302">
        <v>330</v>
      </c>
      <c r="D302">
        <v>1</v>
      </c>
    </row>
    <row r="303" spans="1:4" x14ac:dyDescent="0.35">
      <c r="A303" t="s">
        <v>482</v>
      </c>
      <c r="B303">
        <v>630</v>
      </c>
      <c r="C303">
        <v>615</v>
      </c>
      <c r="D303">
        <v>2</v>
      </c>
    </row>
    <row r="304" spans="1:4" x14ac:dyDescent="0.35">
      <c r="A304" t="s">
        <v>141</v>
      </c>
      <c r="B304">
        <v>1095</v>
      </c>
      <c r="C304">
        <v>1095</v>
      </c>
      <c r="D304">
        <v>3135</v>
      </c>
    </row>
    <row r="305" spans="1:4" x14ac:dyDescent="0.35">
      <c r="A305" t="s">
        <v>111</v>
      </c>
      <c r="B305">
        <v>1565</v>
      </c>
      <c r="C305">
        <v>1569</v>
      </c>
      <c r="D305">
        <v>2161</v>
      </c>
    </row>
    <row r="306" spans="1:4" x14ac:dyDescent="0.35">
      <c r="A306" t="s">
        <v>483</v>
      </c>
      <c r="B306">
        <v>3900</v>
      </c>
      <c r="C306">
        <v>376</v>
      </c>
      <c r="D306">
        <v>0</v>
      </c>
    </row>
    <row r="307" spans="1:4" x14ac:dyDescent="0.35">
      <c r="A307" t="s">
        <v>484</v>
      </c>
      <c r="B307">
        <v>208</v>
      </c>
      <c r="C307">
        <v>208</v>
      </c>
      <c r="D307">
        <v>0</v>
      </c>
    </row>
    <row r="308" spans="1:4" x14ac:dyDescent="0.35">
      <c r="A308" t="s">
        <v>485</v>
      </c>
      <c r="B308">
        <v>49</v>
      </c>
      <c r="C308">
        <v>35</v>
      </c>
      <c r="D308">
        <v>12</v>
      </c>
    </row>
    <row r="309" spans="1:4" x14ac:dyDescent="0.35">
      <c r="A309" t="s">
        <v>486</v>
      </c>
      <c r="B309">
        <v>100</v>
      </c>
      <c r="C309">
        <v>50</v>
      </c>
      <c r="D309">
        <v>3</v>
      </c>
    </row>
    <row r="310" spans="1:4" x14ac:dyDescent="0.35">
      <c r="A310" t="s">
        <v>487</v>
      </c>
      <c r="B310">
        <v>134</v>
      </c>
      <c r="C310">
        <v>177</v>
      </c>
      <c r="D310">
        <v>282</v>
      </c>
    </row>
    <row r="311" spans="1:4" x14ac:dyDescent="0.35">
      <c r="A311" t="s">
        <v>488</v>
      </c>
      <c r="B311">
        <v>190</v>
      </c>
      <c r="C311">
        <v>157</v>
      </c>
      <c r="D311">
        <v>1028</v>
      </c>
    </row>
    <row r="312" spans="1:4" x14ac:dyDescent="0.35">
      <c r="A312" t="s">
        <v>489</v>
      </c>
      <c r="B312">
        <v>560684</v>
      </c>
      <c r="C312">
        <v>538162</v>
      </c>
      <c r="D312">
        <v>25</v>
      </c>
    </row>
    <row r="313" spans="1:4" x14ac:dyDescent="0.35">
      <c r="A313" t="s">
        <v>490</v>
      </c>
      <c r="B313">
        <v>3138</v>
      </c>
      <c r="C313">
        <v>3020</v>
      </c>
      <c r="D313">
        <v>192</v>
      </c>
    </row>
    <row r="314" spans="1:4" x14ac:dyDescent="0.35">
      <c r="A314" t="s">
        <v>491</v>
      </c>
      <c r="B314">
        <v>3000</v>
      </c>
      <c r="C314">
        <v>1125</v>
      </c>
      <c r="D314">
        <v>11</v>
      </c>
    </row>
    <row r="315" spans="1:4" x14ac:dyDescent="0.35">
      <c r="A315" t="s">
        <v>492</v>
      </c>
      <c r="B315">
        <v>118</v>
      </c>
      <c r="C315">
        <v>111</v>
      </c>
      <c r="D315">
        <v>328</v>
      </c>
    </row>
    <row r="316" spans="1:4" x14ac:dyDescent="0.35">
      <c r="A316" t="s">
        <v>493</v>
      </c>
      <c r="B316">
        <v>249</v>
      </c>
      <c r="C316">
        <v>128</v>
      </c>
      <c r="D316">
        <v>56</v>
      </c>
    </row>
    <row r="317" spans="1:4" x14ac:dyDescent="0.35">
      <c r="A317" t="s">
        <v>494</v>
      </c>
      <c r="B317">
        <v>17</v>
      </c>
      <c r="C317">
        <v>100</v>
      </c>
      <c r="D317">
        <v>433</v>
      </c>
    </row>
    <row r="318" spans="1:4" x14ac:dyDescent="0.35">
      <c r="A318" t="s">
        <v>495</v>
      </c>
      <c r="B318">
        <v>423</v>
      </c>
      <c r="C318">
        <v>403</v>
      </c>
      <c r="D318">
        <v>250</v>
      </c>
    </row>
    <row r="319" spans="1:4" x14ac:dyDescent="0.35">
      <c r="A319" t="s">
        <v>496</v>
      </c>
      <c r="B319">
        <v>639969</v>
      </c>
      <c r="C319">
        <v>630000</v>
      </c>
      <c r="D319">
        <v>1</v>
      </c>
    </row>
    <row r="320" spans="1:4" x14ac:dyDescent="0.35">
      <c r="A320" t="s">
        <v>497</v>
      </c>
      <c r="B320">
        <v>5790102</v>
      </c>
      <c r="C320">
        <v>5375275</v>
      </c>
      <c r="D320">
        <v>2</v>
      </c>
    </row>
    <row r="321" spans="1:4" x14ac:dyDescent="0.35">
      <c r="A321" t="s">
        <v>498</v>
      </c>
      <c r="B321">
        <v>3000000</v>
      </c>
      <c r="C321">
        <v>4031454</v>
      </c>
      <c r="D321">
        <v>0</v>
      </c>
    </row>
    <row r="322" spans="1:4" x14ac:dyDescent="0.35">
      <c r="A322" t="s">
        <v>499</v>
      </c>
      <c r="B322">
        <v>2850194</v>
      </c>
      <c r="C322">
        <v>2771799</v>
      </c>
      <c r="D322">
        <v>84</v>
      </c>
    </row>
    <row r="323" spans="1:4" x14ac:dyDescent="0.35">
      <c r="A323" t="s">
        <v>44</v>
      </c>
      <c r="B323">
        <v>2095</v>
      </c>
      <c r="C323">
        <v>2053</v>
      </c>
      <c r="D323">
        <v>14555</v>
      </c>
    </row>
    <row r="324" spans="1:4" x14ac:dyDescent="0.35">
      <c r="A324" t="s">
        <v>500</v>
      </c>
      <c r="B324">
        <v>5339829</v>
      </c>
      <c r="C324">
        <v>5133425</v>
      </c>
      <c r="D324">
        <v>18</v>
      </c>
    </row>
    <row r="325" spans="1:4" x14ac:dyDescent="0.35">
      <c r="A325" t="s">
        <v>501</v>
      </c>
      <c r="B325">
        <v>112000000</v>
      </c>
      <c r="C325">
        <v>110125000</v>
      </c>
      <c r="D325">
        <v>8</v>
      </c>
    </row>
    <row r="326" spans="1:4" x14ac:dyDescent="0.35">
      <c r="A326" t="s">
        <v>502</v>
      </c>
      <c r="B326">
        <v>109899999</v>
      </c>
      <c r="C326">
        <v>108400000</v>
      </c>
      <c r="D326">
        <v>8</v>
      </c>
    </row>
    <row r="327" spans="1:4" x14ac:dyDescent="0.35">
      <c r="A327" t="s">
        <v>503</v>
      </c>
      <c r="B327">
        <v>2200</v>
      </c>
      <c r="C327">
        <v>1250</v>
      </c>
      <c r="D327">
        <v>1</v>
      </c>
    </row>
    <row r="328" spans="1:4" x14ac:dyDescent="0.35">
      <c r="A328" t="s">
        <v>504</v>
      </c>
      <c r="B328">
        <v>1921</v>
      </c>
      <c r="C328">
        <v>1000</v>
      </c>
      <c r="D328">
        <v>2</v>
      </c>
    </row>
    <row r="329" spans="1:4" x14ac:dyDescent="0.35">
      <c r="A329" t="s">
        <v>505</v>
      </c>
      <c r="B329">
        <v>2019</v>
      </c>
      <c r="C329">
        <v>2009</v>
      </c>
      <c r="D329">
        <v>87</v>
      </c>
    </row>
    <row r="330" spans="1:4" x14ac:dyDescent="0.35">
      <c r="A330" t="s">
        <v>506</v>
      </c>
      <c r="B330">
        <v>5145</v>
      </c>
      <c r="C330">
        <v>5145</v>
      </c>
      <c r="D330">
        <v>0</v>
      </c>
    </row>
    <row r="331" spans="1:4" x14ac:dyDescent="0.35">
      <c r="A331" t="s">
        <v>507</v>
      </c>
      <c r="B331">
        <v>40521</v>
      </c>
      <c r="C331">
        <v>39444</v>
      </c>
      <c r="D331">
        <v>52</v>
      </c>
    </row>
    <row r="332" spans="1:4" x14ac:dyDescent="0.35">
      <c r="A332" t="s">
        <v>508</v>
      </c>
      <c r="B332">
        <v>3100000</v>
      </c>
      <c r="C332">
        <v>3147242</v>
      </c>
      <c r="D332">
        <v>0</v>
      </c>
    </row>
    <row r="333" spans="1:4" x14ac:dyDescent="0.35">
      <c r="A333" t="s">
        <v>509</v>
      </c>
      <c r="B333">
        <v>2949944</v>
      </c>
      <c r="C333">
        <v>2873618</v>
      </c>
      <c r="D333">
        <v>49</v>
      </c>
    </row>
    <row r="334" spans="1:4" x14ac:dyDescent="0.35">
      <c r="A334" t="s">
        <v>510</v>
      </c>
      <c r="B334">
        <v>18</v>
      </c>
      <c r="C334">
        <v>15</v>
      </c>
      <c r="D334">
        <v>132</v>
      </c>
    </row>
    <row r="335" spans="1:4" x14ac:dyDescent="0.35">
      <c r="A335" t="s">
        <v>511</v>
      </c>
      <c r="B335">
        <v>537</v>
      </c>
      <c r="C335">
        <v>519</v>
      </c>
      <c r="D335">
        <v>1301</v>
      </c>
    </row>
    <row r="336" spans="1:4" x14ac:dyDescent="0.35">
      <c r="A336" t="s">
        <v>512</v>
      </c>
      <c r="B336">
        <v>1850</v>
      </c>
      <c r="C336">
        <v>1555</v>
      </c>
      <c r="D336">
        <v>0</v>
      </c>
    </row>
    <row r="337" spans="1:4" x14ac:dyDescent="0.35">
      <c r="A337" t="s">
        <v>513</v>
      </c>
      <c r="B337">
        <v>822</v>
      </c>
      <c r="C337">
        <v>822</v>
      </c>
      <c r="D337">
        <v>4728</v>
      </c>
    </row>
    <row r="338" spans="1:4" x14ac:dyDescent="0.35">
      <c r="A338" t="s">
        <v>514</v>
      </c>
      <c r="B338">
        <v>30000</v>
      </c>
      <c r="C338">
        <v>2500</v>
      </c>
      <c r="D338">
        <v>0</v>
      </c>
    </row>
    <row r="339" spans="1:4" x14ac:dyDescent="0.35">
      <c r="A339" t="s">
        <v>515</v>
      </c>
      <c r="B339">
        <v>69724</v>
      </c>
      <c r="C339">
        <v>68833</v>
      </c>
      <c r="D339">
        <v>5</v>
      </c>
    </row>
    <row r="340" spans="1:4" x14ac:dyDescent="0.35">
      <c r="A340" t="s">
        <v>516</v>
      </c>
      <c r="B340">
        <v>1223</v>
      </c>
      <c r="C340">
        <v>251</v>
      </c>
      <c r="D340">
        <v>0</v>
      </c>
    </row>
    <row r="341" spans="1:4" x14ac:dyDescent="0.35">
      <c r="A341" t="s">
        <v>517</v>
      </c>
      <c r="B341">
        <v>1850</v>
      </c>
      <c r="C341">
        <v>860</v>
      </c>
      <c r="D341">
        <v>0</v>
      </c>
    </row>
    <row r="342" spans="1:4" x14ac:dyDescent="0.35">
      <c r="A342" t="s">
        <v>518</v>
      </c>
      <c r="B342">
        <v>1954</v>
      </c>
      <c r="C342">
        <v>1870</v>
      </c>
      <c r="D342">
        <v>0</v>
      </c>
    </row>
    <row r="343" spans="1:4" x14ac:dyDescent="0.35">
      <c r="A343" t="s">
        <v>519</v>
      </c>
      <c r="B343">
        <v>2740</v>
      </c>
      <c r="C343">
        <v>2625</v>
      </c>
      <c r="D343">
        <v>4570</v>
      </c>
    </row>
    <row r="344" spans="1:4" x14ac:dyDescent="0.35">
      <c r="A344" t="s">
        <v>520</v>
      </c>
      <c r="B344">
        <v>26173790</v>
      </c>
      <c r="C344">
        <v>25468000</v>
      </c>
      <c r="D344">
        <v>15</v>
      </c>
    </row>
    <row r="345" spans="1:4" x14ac:dyDescent="0.35">
      <c r="A345" t="s">
        <v>521</v>
      </c>
      <c r="B345">
        <v>194154</v>
      </c>
      <c r="C345">
        <v>165666</v>
      </c>
      <c r="D345">
        <v>10</v>
      </c>
    </row>
    <row r="346" spans="1:4" x14ac:dyDescent="0.35">
      <c r="A346" t="s">
        <v>522</v>
      </c>
      <c r="B346">
        <v>34844658</v>
      </c>
      <c r="C346">
        <v>33969089</v>
      </c>
      <c r="D346">
        <v>15</v>
      </c>
    </row>
    <row r="347" spans="1:4" x14ac:dyDescent="0.35">
      <c r="A347" t="s">
        <v>523</v>
      </c>
      <c r="B347">
        <v>24888</v>
      </c>
      <c r="C347">
        <v>13000</v>
      </c>
      <c r="D347">
        <v>6</v>
      </c>
    </row>
    <row r="348" spans="1:4" x14ac:dyDescent="0.35">
      <c r="A348" t="s">
        <v>524</v>
      </c>
      <c r="B348">
        <v>72629</v>
      </c>
      <c r="C348">
        <v>77555</v>
      </c>
      <c r="D348">
        <v>11</v>
      </c>
    </row>
    <row r="349" spans="1:4" x14ac:dyDescent="0.35">
      <c r="A349" t="s">
        <v>525</v>
      </c>
      <c r="B349">
        <v>31375834</v>
      </c>
      <c r="C349">
        <v>30617853</v>
      </c>
      <c r="D349">
        <v>35</v>
      </c>
    </row>
    <row r="350" spans="1:4" x14ac:dyDescent="0.35">
      <c r="A350" t="s">
        <v>526</v>
      </c>
      <c r="B350">
        <v>10000</v>
      </c>
      <c r="C350">
        <v>2100</v>
      </c>
      <c r="D350">
        <v>1</v>
      </c>
    </row>
    <row r="351" spans="1:4" x14ac:dyDescent="0.35">
      <c r="A351" t="s">
        <v>527</v>
      </c>
      <c r="B351">
        <v>120361</v>
      </c>
      <c r="C351">
        <v>114990</v>
      </c>
      <c r="D351">
        <v>22</v>
      </c>
    </row>
    <row r="352" spans="1:4" x14ac:dyDescent="0.35">
      <c r="A352" t="s">
        <v>528</v>
      </c>
      <c r="B352">
        <v>474999</v>
      </c>
      <c r="C352">
        <v>446339</v>
      </c>
      <c r="D352">
        <v>12</v>
      </c>
    </row>
    <row r="353" spans="1:4" x14ac:dyDescent="0.35">
      <c r="A353" t="s">
        <v>529</v>
      </c>
      <c r="B353">
        <v>758250</v>
      </c>
      <c r="C353">
        <v>705110</v>
      </c>
      <c r="D353">
        <v>2</v>
      </c>
    </row>
    <row r="354" spans="1:4" x14ac:dyDescent="0.35">
      <c r="A354" t="s">
        <v>530</v>
      </c>
      <c r="B354">
        <v>571252</v>
      </c>
      <c r="C354">
        <v>519653</v>
      </c>
      <c r="D354">
        <v>0</v>
      </c>
    </row>
    <row r="355" spans="1:4" x14ac:dyDescent="0.35">
      <c r="A355" t="s">
        <v>531</v>
      </c>
      <c r="B355">
        <v>36266</v>
      </c>
      <c r="C355">
        <v>35000</v>
      </c>
      <c r="D355">
        <v>3</v>
      </c>
    </row>
    <row r="356" spans="1:4" x14ac:dyDescent="0.35">
      <c r="A356" t="s">
        <v>532</v>
      </c>
      <c r="B356">
        <v>8838880</v>
      </c>
      <c r="C356">
        <v>8617658</v>
      </c>
      <c r="D356">
        <v>46</v>
      </c>
    </row>
    <row r="357" spans="1:4" x14ac:dyDescent="0.35">
      <c r="A357" t="s">
        <v>533</v>
      </c>
      <c r="B357">
        <v>114665</v>
      </c>
      <c r="C357">
        <v>112406</v>
      </c>
      <c r="D357">
        <v>0</v>
      </c>
    </row>
    <row r="358" spans="1:4" x14ac:dyDescent="0.35">
      <c r="A358" t="s">
        <v>534</v>
      </c>
      <c r="B358">
        <v>8768735</v>
      </c>
      <c r="C358">
        <v>8436910</v>
      </c>
      <c r="D358">
        <v>15</v>
      </c>
    </row>
    <row r="359" spans="1:4" x14ac:dyDescent="0.35">
      <c r="A359" t="s">
        <v>535</v>
      </c>
      <c r="B359">
        <v>8239070</v>
      </c>
      <c r="C359">
        <v>7951869</v>
      </c>
      <c r="D359">
        <v>4</v>
      </c>
    </row>
    <row r="360" spans="1:4" x14ac:dyDescent="0.35">
      <c r="A360" t="s">
        <v>536</v>
      </c>
      <c r="B360">
        <v>37687</v>
      </c>
      <c r="C360">
        <v>36001</v>
      </c>
      <c r="D360">
        <v>2</v>
      </c>
    </row>
    <row r="361" spans="1:4" x14ac:dyDescent="0.35">
      <c r="A361" t="s">
        <v>537</v>
      </c>
      <c r="B361">
        <v>9222</v>
      </c>
      <c r="C361">
        <v>6557</v>
      </c>
      <c r="D361">
        <v>0</v>
      </c>
    </row>
    <row r="362" spans="1:4" x14ac:dyDescent="0.35">
      <c r="A362" t="s">
        <v>538</v>
      </c>
      <c r="B362">
        <v>4487</v>
      </c>
      <c r="C362">
        <v>3500</v>
      </c>
      <c r="D362">
        <v>9</v>
      </c>
    </row>
    <row r="363" spans="1:4" x14ac:dyDescent="0.35">
      <c r="A363" t="s">
        <v>539</v>
      </c>
      <c r="B363">
        <v>2465</v>
      </c>
      <c r="C363">
        <v>3708</v>
      </c>
      <c r="D363">
        <v>15</v>
      </c>
    </row>
    <row r="364" spans="1:4" x14ac:dyDescent="0.35">
      <c r="A364" t="s">
        <v>540</v>
      </c>
      <c r="B364">
        <v>3350</v>
      </c>
      <c r="C364">
        <v>2900</v>
      </c>
      <c r="D364">
        <v>12</v>
      </c>
    </row>
    <row r="365" spans="1:4" x14ac:dyDescent="0.35">
      <c r="A365" t="s">
        <v>541</v>
      </c>
      <c r="B365">
        <v>2278</v>
      </c>
      <c r="C365">
        <v>2112</v>
      </c>
      <c r="D365">
        <v>9</v>
      </c>
    </row>
    <row r="366" spans="1:4" x14ac:dyDescent="0.35">
      <c r="A366" t="s">
        <v>542</v>
      </c>
      <c r="B366">
        <v>48000</v>
      </c>
      <c r="C366">
        <v>38700</v>
      </c>
      <c r="D366">
        <v>1</v>
      </c>
    </row>
    <row r="367" spans="1:4" x14ac:dyDescent="0.35">
      <c r="A367" t="s">
        <v>543</v>
      </c>
      <c r="B367">
        <v>38198</v>
      </c>
      <c r="C367">
        <v>38100</v>
      </c>
      <c r="D367">
        <v>2</v>
      </c>
    </row>
    <row r="368" spans="1:4" x14ac:dyDescent="0.35">
      <c r="A368" t="s">
        <v>544</v>
      </c>
      <c r="B368">
        <v>44072</v>
      </c>
      <c r="C368">
        <v>37947</v>
      </c>
      <c r="D368">
        <v>1</v>
      </c>
    </row>
    <row r="369" spans="1:4" x14ac:dyDescent="0.35">
      <c r="A369" t="s">
        <v>545</v>
      </c>
      <c r="B369">
        <v>45280</v>
      </c>
      <c r="C369">
        <v>31250</v>
      </c>
      <c r="D369">
        <v>1</v>
      </c>
    </row>
    <row r="370" spans="1:4" x14ac:dyDescent="0.35">
      <c r="A370" t="s">
        <v>546</v>
      </c>
      <c r="B370">
        <v>40382</v>
      </c>
      <c r="C370">
        <v>40500</v>
      </c>
      <c r="D370">
        <v>1</v>
      </c>
    </row>
    <row r="371" spans="1:4" x14ac:dyDescent="0.35">
      <c r="A371" t="s">
        <v>547</v>
      </c>
      <c r="B371">
        <v>178184</v>
      </c>
      <c r="C371">
        <v>170227</v>
      </c>
      <c r="D371">
        <v>5</v>
      </c>
    </row>
    <row r="372" spans="1:4" x14ac:dyDescent="0.35">
      <c r="A372" t="s">
        <v>548</v>
      </c>
      <c r="B372">
        <v>204468</v>
      </c>
      <c r="C372">
        <v>184278</v>
      </c>
      <c r="D372">
        <v>0</v>
      </c>
    </row>
    <row r="373" spans="1:4" x14ac:dyDescent="0.35">
      <c r="A373" t="s">
        <v>549</v>
      </c>
      <c r="B373">
        <v>17630</v>
      </c>
      <c r="C373">
        <v>4444</v>
      </c>
      <c r="D373">
        <v>4</v>
      </c>
    </row>
    <row r="374" spans="1:4" x14ac:dyDescent="0.35">
      <c r="A374" t="s">
        <v>550</v>
      </c>
      <c r="B374">
        <v>8960572</v>
      </c>
      <c r="C374">
        <v>8365780</v>
      </c>
      <c r="D374">
        <v>0</v>
      </c>
    </row>
    <row r="375" spans="1:4" x14ac:dyDescent="0.35">
      <c r="A375" t="s">
        <v>551</v>
      </c>
      <c r="B375">
        <v>68933283</v>
      </c>
      <c r="C375">
        <v>65100000</v>
      </c>
      <c r="D375">
        <v>0</v>
      </c>
    </row>
    <row r="376" spans="1:4" x14ac:dyDescent="0.35">
      <c r="A376" t="s">
        <v>552</v>
      </c>
      <c r="B376">
        <v>39027941</v>
      </c>
      <c r="C376">
        <v>39178318</v>
      </c>
      <c r="D376">
        <v>0</v>
      </c>
    </row>
    <row r="377" spans="1:4" x14ac:dyDescent="0.35">
      <c r="A377" t="s">
        <v>553</v>
      </c>
      <c r="B377">
        <v>101300000</v>
      </c>
      <c r="C377">
        <v>93506504</v>
      </c>
      <c r="D377">
        <v>0</v>
      </c>
    </row>
    <row r="378" spans="1:4" x14ac:dyDescent="0.35">
      <c r="A378" t="s">
        <v>554</v>
      </c>
      <c r="B378">
        <v>155000000</v>
      </c>
      <c r="C378">
        <v>155000000</v>
      </c>
      <c r="D378">
        <v>0</v>
      </c>
    </row>
    <row r="379" spans="1:4" x14ac:dyDescent="0.35">
      <c r="A379" t="s">
        <v>555</v>
      </c>
      <c r="B379">
        <v>1</v>
      </c>
      <c r="C379">
        <v>1</v>
      </c>
      <c r="D379">
        <v>182437</v>
      </c>
    </row>
    <row r="380" spans="1:4" x14ac:dyDescent="0.35">
      <c r="A380" t="s">
        <v>556</v>
      </c>
      <c r="B380">
        <v>139</v>
      </c>
      <c r="C380">
        <v>115</v>
      </c>
      <c r="D380">
        <v>31</v>
      </c>
    </row>
    <row r="381" spans="1:4" x14ac:dyDescent="0.35">
      <c r="A381" t="s">
        <v>557</v>
      </c>
      <c r="B381">
        <v>75000</v>
      </c>
      <c r="C381">
        <v>2000</v>
      </c>
      <c r="D381">
        <v>0</v>
      </c>
    </row>
    <row r="382" spans="1:4" x14ac:dyDescent="0.35">
      <c r="A382" t="s">
        <v>558</v>
      </c>
      <c r="B382">
        <v>38799</v>
      </c>
      <c r="C382">
        <v>38799</v>
      </c>
      <c r="D382">
        <v>0</v>
      </c>
    </row>
    <row r="383" spans="1:4" x14ac:dyDescent="0.35">
      <c r="A383" t="s">
        <v>559</v>
      </c>
      <c r="B383">
        <v>85625</v>
      </c>
      <c r="C383">
        <v>29219</v>
      </c>
      <c r="D383">
        <v>0</v>
      </c>
    </row>
    <row r="384" spans="1:4" x14ac:dyDescent="0.35">
      <c r="A384" t="s">
        <v>560</v>
      </c>
      <c r="B384">
        <v>30000</v>
      </c>
      <c r="C384">
        <v>10423</v>
      </c>
      <c r="D384">
        <v>0</v>
      </c>
    </row>
    <row r="385" spans="1:4" x14ac:dyDescent="0.35">
      <c r="A385" t="s">
        <v>561</v>
      </c>
      <c r="B385">
        <v>344</v>
      </c>
      <c r="C385">
        <v>100</v>
      </c>
      <c r="D385">
        <v>0</v>
      </c>
    </row>
    <row r="386" spans="1:4" x14ac:dyDescent="0.35">
      <c r="A386" t="s">
        <v>562</v>
      </c>
      <c r="B386">
        <v>10</v>
      </c>
      <c r="C386">
        <v>4</v>
      </c>
      <c r="D386">
        <v>13000</v>
      </c>
    </row>
    <row r="387" spans="1:4" x14ac:dyDescent="0.35">
      <c r="A387" t="s">
        <v>168</v>
      </c>
      <c r="B387">
        <v>54</v>
      </c>
      <c r="C387">
        <v>53</v>
      </c>
      <c r="D387">
        <v>659</v>
      </c>
    </row>
    <row r="388" spans="1:4" x14ac:dyDescent="0.35">
      <c r="A388" t="s">
        <v>563</v>
      </c>
      <c r="B388">
        <v>47392</v>
      </c>
      <c r="C388">
        <v>1500</v>
      </c>
      <c r="D388">
        <v>0</v>
      </c>
    </row>
    <row r="389" spans="1:4" x14ac:dyDescent="0.35">
      <c r="A389" t="s">
        <v>564</v>
      </c>
      <c r="B389">
        <v>75</v>
      </c>
      <c r="C389">
        <v>74</v>
      </c>
      <c r="D389">
        <v>195280</v>
      </c>
    </row>
    <row r="390" spans="1:4" x14ac:dyDescent="0.35">
      <c r="A390" t="s">
        <v>565</v>
      </c>
      <c r="B390">
        <v>2922</v>
      </c>
      <c r="C390">
        <v>2320</v>
      </c>
      <c r="D390">
        <v>2</v>
      </c>
    </row>
    <row r="391" spans="1:4" x14ac:dyDescent="0.35">
      <c r="A391" t="s">
        <v>566</v>
      </c>
      <c r="B391">
        <v>181</v>
      </c>
      <c r="C391">
        <v>177</v>
      </c>
      <c r="D391">
        <v>164611</v>
      </c>
    </row>
    <row r="392" spans="1:4" x14ac:dyDescent="0.35">
      <c r="A392" t="s">
        <v>567</v>
      </c>
      <c r="B392">
        <v>64</v>
      </c>
      <c r="C392">
        <v>62</v>
      </c>
      <c r="D392">
        <v>27390</v>
      </c>
    </row>
    <row r="393" spans="1:4" x14ac:dyDescent="0.35">
      <c r="A393" t="s">
        <v>568</v>
      </c>
      <c r="B393">
        <v>118</v>
      </c>
      <c r="C393">
        <v>115</v>
      </c>
      <c r="D393">
        <v>0</v>
      </c>
    </row>
    <row r="394" spans="1:4" x14ac:dyDescent="0.35">
      <c r="A394" t="s">
        <v>569</v>
      </c>
      <c r="B394">
        <v>169</v>
      </c>
      <c r="C394">
        <v>185</v>
      </c>
      <c r="D394">
        <v>0</v>
      </c>
    </row>
    <row r="395" spans="1:4" x14ac:dyDescent="0.35">
      <c r="A395" t="s">
        <v>570</v>
      </c>
      <c r="B395">
        <v>75</v>
      </c>
      <c r="C395">
        <v>114</v>
      </c>
      <c r="D395">
        <v>0</v>
      </c>
    </row>
    <row r="396" spans="1:4" x14ac:dyDescent="0.35">
      <c r="A396" t="s">
        <v>571</v>
      </c>
      <c r="B396">
        <v>56</v>
      </c>
      <c r="C396">
        <v>6</v>
      </c>
      <c r="D396">
        <v>4</v>
      </c>
    </row>
    <row r="397" spans="1:4" x14ac:dyDescent="0.35">
      <c r="A397" t="s">
        <v>572</v>
      </c>
      <c r="B397">
        <v>11</v>
      </c>
      <c r="C397">
        <v>10</v>
      </c>
      <c r="D397">
        <v>3</v>
      </c>
    </row>
    <row r="398" spans="1:4" x14ac:dyDescent="0.35">
      <c r="A398" t="s">
        <v>573</v>
      </c>
      <c r="B398">
        <v>7</v>
      </c>
      <c r="C398">
        <v>7</v>
      </c>
      <c r="D398">
        <v>2068</v>
      </c>
    </row>
    <row r="399" spans="1:4" x14ac:dyDescent="0.35">
      <c r="A399" t="s">
        <v>574</v>
      </c>
      <c r="B399">
        <v>15</v>
      </c>
      <c r="C399">
        <v>11</v>
      </c>
      <c r="D399">
        <v>579</v>
      </c>
    </row>
    <row r="400" spans="1:4" x14ac:dyDescent="0.35">
      <c r="A400" t="s">
        <v>575</v>
      </c>
      <c r="B400">
        <v>2376</v>
      </c>
      <c r="C400">
        <v>2357</v>
      </c>
      <c r="D400">
        <v>15865</v>
      </c>
    </row>
    <row r="401" spans="1:4" x14ac:dyDescent="0.35">
      <c r="A401" t="s">
        <v>109</v>
      </c>
      <c r="B401">
        <v>2636</v>
      </c>
      <c r="C401">
        <v>2671</v>
      </c>
      <c r="D401">
        <v>3364</v>
      </c>
    </row>
    <row r="402" spans="1:4" x14ac:dyDescent="0.35">
      <c r="A402" t="s">
        <v>576</v>
      </c>
      <c r="B402">
        <v>542</v>
      </c>
      <c r="C402">
        <v>400</v>
      </c>
      <c r="D402">
        <v>2512</v>
      </c>
    </row>
    <row r="403" spans="1:4" x14ac:dyDescent="0.35">
      <c r="A403" t="s">
        <v>577</v>
      </c>
      <c r="B403">
        <v>40177978</v>
      </c>
      <c r="C403">
        <v>39388641</v>
      </c>
      <c r="D403">
        <v>10</v>
      </c>
    </row>
    <row r="404" spans="1:4" x14ac:dyDescent="0.35">
      <c r="A404" t="s">
        <v>578</v>
      </c>
      <c r="B404">
        <v>238900000</v>
      </c>
      <c r="C404">
        <v>233501000</v>
      </c>
      <c r="D404">
        <v>7</v>
      </c>
    </row>
    <row r="405" spans="1:4" x14ac:dyDescent="0.35">
      <c r="A405" t="s">
        <v>579</v>
      </c>
      <c r="B405">
        <v>414231</v>
      </c>
      <c r="C405">
        <v>406000</v>
      </c>
      <c r="D405">
        <v>220</v>
      </c>
    </row>
    <row r="406" spans="1:4" x14ac:dyDescent="0.35">
      <c r="A406" t="s">
        <v>580</v>
      </c>
      <c r="B406">
        <v>168</v>
      </c>
      <c r="C406">
        <v>3</v>
      </c>
      <c r="D406">
        <v>110</v>
      </c>
    </row>
    <row r="407" spans="1:4" x14ac:dyDescent="0.35">
      <c r="A407" t="s">
        <v>581</v>
      </c>
      <c r="B407">
        <v>16666</v>
      </c>
      <c r="C407">
        <v>14983</v>
      </c>
      <c r="D407">
        <v>0</v>
      </c>
    </row>
    <row r="408" spans="1:4" x14ac:dyDescent="0.35">
      <c r="A408" t="s">
        <v>582</v>
      </c>
      <c r="B408">
        <v>47777</v>
      </c>
      <c r="C408">
        <v>37806</v>
      </c>
      <c r="D408">
        <v>0</v>
      </c>
    </row>
    <row r="409" spans="1:4" x14ac:dyDescent="0.35">
      <c r="A409" t="s">
        <v>583</v>
      </c>
      <c r="B409">
        <v>219452</v>
      </c>
      <c r="C409">
        <v>219452</v>
      </c>
      <c r="D409">
        <v>0</v>
      </c>
    </row>
    <row r="410" spans="1:4" x14ac:dyDescent="0.35">
      <c r="A410" t="s">
        <v>584</v>
      </c>
      <c r="B410">
        <v>1400</v>
      </c>
      <c r="C410">
        <v>1310</v>
      </c>
      <c r="D410">
        <v>109</v>
      </c>
    </row>
    <row r="411" spans="1:4" x14ac:dyDescent="0.35">
      <c r="A411" t="s">
        <v>585</v>
      </c>
      <c r="B411">
        <v>691</v>
      </c>
      <c r="C411">
        <v>612</v>
      </c>
      <c r="D411">
        <v>13223</v>
      </c>
    </row>
    <row r="412" spans="1:4" x14ac:dyDescent="0.35">
      <c r="A412" t="s">
        <v>586</v>
      </c>
      <c r="B412">
        <v>30</v>
      </c>
      <c r="C412">
        <v>30</v>
      </c>
      <c r="D412">
        <v>12</v>
      </c>
    </row>
    <row r="413" spans="1:4" x14ac:dyDescent="0.35">
      <c r="A413" t="s">
        <v>587</v>
      </c>
      <c r="B413">
        <v>39999</v>
      </c>
      <c r="C413">
        <v>13500</v>
      </c>
      <c r="D413">
        <v>0</v>
      </c>
    </row>
    <row r="414" spans="1:4" x14ac:dyDescent="0.35">
      <c r="A414" t="s">
        <v>588</v>
      </c>
      <c r="B414">
        <v>30000</v>
      </c>
      <c r="C414">
        <v>14130</v>
      </c>
      <c r="D414">
        <v>0</v>
      </c>
    </row>
    <row r="415" spans="1:4" x14ac:dyDescent="0.35">
      <c r="A415" t="s">
        <v>589</v>
      </c>
      <c r="B415">
        <v>3500</v>
      </c>
      <c r="C415">
        <v>1678</v>
      </c>
      <c r="D415">
        <v>4</v>
      </c>
    </row>
    <row r="416" spans="1:4" x14ac:dyDescent="0.35">
      <c r="A416" t="s">
        <v>590</v>
      </c>
      <c r="B416">
        <v>10499</v>
      </c>
      <c r="C416">
        <v>5250</v>
      </c>
      <c r="D416">
        <v>0</v>
      </c>
    </row>
    <row r="417" spans="1:4" x14ac:dyDescent="0.35">
      <c r="A417" t="s">
        <v>591</v>
      </c>
      <c r="B417">
        <v>56672</v>
      </c>
      <c r="C417">
        <v>54400</v>
      </c>
      <c r="D417">
        <v>12</v>
      </c>
    </row>
    <row r="418" spans="1:4" x14ac:dyDescent="0.35">
      <c r="A418" t="s">
        <v>592</v>
      </c>
      <c r="B418">
        <v>17209</v>
      </c>
      <c r="C418">
        <v>17234</v>
      </c>
      <c r="D418">
        <v>2</v>
      </c>
    </row>
    <row r="419" spans="1:4" x14ac:dyDescent="0.35">
      <c r="A419" t="s">
        <v>593</v>
      </c>
      <c r="B419">
        <v>6011</v>
      </c>
      <c r="C419">
        <v>5000</v>
      </c>
      <c r="D419">
        <v>0</v>
      </c>
    </row>
    <row r="420" spans="1:4" x14ac:dyDescent="0.35">
      <c r="A420" t="s">
        <v>594</v>
      </c>
      <c r="B420">
        <v>2999</v>
      </c>
      <c r="C420">
        <v>2981</v>
      </c>
      <c r="D420">
        <v>5</v>
      </c>
    </row>
    <row r="421" spans="1:4" x14ac:dyDescent="0.35">
      <c r="A421" t="s">
        <v>595</v>
      </c>
      <c r="B421">
        <v>8111</v>
      </c>
      <c r="C421">
        <v>6229</v>
      </c>
      <c r="D421">
        <v>2</v>
      </c>
    </row>
    <row r="422" spans="1:4" x14ac:dyDescent="0.35">
      <c r="A422" t="s">
        <v>596</v>
      </c>
      <c r="B422">
        <v>1447</v>
      </c>
      <c r="C422">
        <v>1447</v>
      </c>
      <c r="D422">
        <v>30779</v>
      </c>
    </row>
    <row r="423" spans="1:4" x14ac:dyDescent="0.35">
      <c r="A423" t="s">
        <v>597</v>
      </c>
      <c r="B423">
        <v>6300</v>
      </c>
      <c r="C423">
        <v>6138</v>
      </c>
      <c r="D423">
        <v>65</v>
      </c>
    </row>
    <row r="424" spans="1:4" x14ac:dyDescent="0.35">
      <c r="A424" t="s">
        <v>598</v>
      </c>
      <c r="B424">
        <v>12552</v>
      </c>
      <c r="C424">
        <v>12552</v>
      </c>
      <c r="D424">
        <v>331</v>
      </c>
    </row>
    <row r="425" spans="1:4" x14ac:dyDescent="0.35">
      <c r="A425" t="s">
        <v>599</v>
      </c>
      <c r="B425">
        <v>35000</v>
      </c>
      <c r="C425">
        <v>30000</v>
      </c>
      <c r="D425">
        <v>0</v>
      </c>
    </row>
    <row r="426" spans="1:4" x14ac:dyDescent="0.35">
      <c r="A426" t="s">
        <v>600</v>
      </c>
      <c r="B426">
        <v>6450</v>
      </c>
      <c r="C426">
        <v>6450</v>
      </c>
      <c r="D426">
        <v>0</v>
      </c>
    </row>
    <row r="427" spans="1:4" x14ac:dyDescent="0.35">
      <c r="A427" t="s">
        <v>601</v>
      </c>
      <c r="B427">
        <v>14468</v>
      </c>
      <c r="C427">
        <v>12649</v>
      </c>
      <c r="D427">
        <v>31</v>
      </c>
    </row>
    <row r="428" spans="1:4" x14ac:dyDescent="0.35">
      <c r="A428" t="s">
        <v>602</v>
      </c>
      <c r="B428">
        <v>25000</v>
      </c>
      <c r="C428">
        <v>18674</v>
      </c>
      <c r="D428">
        <v>1</v>
      </c>
    </row>
    <row r="429" spans="1:4" x14ac:dyDescent="0.35">
      <c r="A429" t="s">
        <v>603</v>
      </c>
      <c r="B429">
        <v>215</v>
      </c>
      <c r="C429">
        <v>215</v>
      </c>
      <c r="D429">
        <v>657</v>
      </c>
    </row>
    <row r="430" spans="1:4" x14ac:dyDescent="0.35">
      <c r="A430" t="s">
        <v>604</v>
      </c>
      <c r="B430">
        <v>60</v>
      </c>
      <c r="C430">
        <v>60</v>
      </c>
      <c r="D430">
        <v>478</v>
      </c>
    </row>
    <row r="431" spans="1:4" x14ac:dyDescent="0.35">
      <c r="A431" t="s">
        <v>605</v>
      </c>
      <c r="B431">
        <v>0</v>
      </c>
      <c r="C431">
        <v>0</v>
      </c>
      <c r="D431">
        <v>0</v>
      </c>
    </row>
    <row r="432" spans="1:4" x14ac:dyDescent="0.35">
      <c r="A432" t="s">
        <v>606</v>
      </c>
      <c r="B432">
        <v>59</v>
      </c>
      <c r="C432">
        <v>59</v>
      </c>
      <c r="D432">
        <v>1827</v>
      </c>
    </row>
    <row r="433" spans="1:4" x14ac:dyDescent="0.35">
      <c r="A433" t="s">
        <v>607</v>
      </c>
      <c r="B433">
        <v>27830</v>
      </c>
      <c r="C433">
        <v>29170</v>
      </c>
      <c r="D433">
        <v>6</v>
      </c>
    </row>
    <row r="434" spans="1:4" x14ac:dyDescent="0.35">
      <c r="A434" t="s">
        <v>608</v>
      </c>
      <c r="B434">
        <v>29260</v>
      </c>
      <c r="C434">
        <v>29077</v>
      </c>
      <c r="D434">
        <v>10</v>
      </c>
    </row>
    <row r="435" spans="1:4" x14ac:dyDescent="0.35">
      <c r="A435" t="s">
        <v>609</v>
      </c>
      <c r="B435">
        <v>47</v>
      </c>
      <c r="C435">
        <v>46</v>
      </c>
      <c r="D435">
        <v>171938</v>
      </c>
    </row>
    <row r="436" spans="1:4" x14ac:dyDescent="0.35">
      <c r="A436" t="s">
        <v>610</v>
      </c>
      <c r="B436">
        <v>242</v>
      </c>
      <c r="C436">
        <v>150</v>
      </c>
      <c r="D436">
        <v>58</v>
      </c>
    </row>
    <row r="437" spans="1:4" x14ac:dyDescent="0.35">
      <c r="A437" t="s">
        <v>611</v>
      </c>
      <c r="B437">
        <v>5000</v>
      </c>
      <c r="C437">
        <v>400</v>
      </c>
      <c r="D437">
        <v>0</v>
      </c>
    </row>
    <row r="438" spans="1:4" x14ac:dyDescent="0.35">
      <c r="A438" t="s">
        <v>612</v>
      </c>
      <c r="B438">
        <v>15</v>
      </c>
      <c r="C438">
        <v>12</v>
      </c>
      <c r="D438">
        <v>459</v>
      </c>
    </row>
    <row r="439" spans="1:4" x14ac:dyDescent="0.35">
      <c r="A439" t="s">
        <v>613</v>
      </c>
      <c r="B439">
        <v>749</v>
      </c>
      <c r="C439">
        <v>606</v>
      </c>
      <c r="D439">
        <v>821</v>
      </c>
    </row>
    <row r="440" spans="1:4" x14ac:dyDescent="0.35">
      <c r="A440" t="s">
        <v>614</v>
      </c>
      <c r="B440">
        <v>500</v>
      </c>
      <c r="C440">
        <v>100</v>
      </c>
      <c r="D440">
        <v>0</v>
      </c>
    </row>
    <row r="441" spans="1:4" x14ac:dyDescent="0.35">
      <c r="A441" t="s">
        <v>615</v>
      </c>
      <c r="B441">
        <v>328342</v>
      </c>
      <c r="C441">
        <v>150</v>
      </c>
      <c r="D441">
        <v>0</v>
      </c>
    </row>
    <row r="442" spans="1:4" x14ac:dyDescent="0.35">
      <c r="A442" t="s">
        <v>616</v>
      </c>
      <c r="B442">
        <v>1000</v>
      </c>
      <c r="C442">
        <v>1000</v>
      </c>
      <c r="D442">
        <v>0</v>
      </c>
    </row>
    <row r="443" spans="1:4" x14ac:dyDescent="0.35">
      <c r="A443" t="s">
        <v>617</v>
      </c>
      <c r="B443">
        <v>2044</v>
      </c>
      <c r="C443">
        <v>1455</v>
      </c>
      <c r="D443">
        <v>2</v>
      </c>
    </row>
    <row r="444" spans="1:4" x14ac:dyDescent="0.35">
      <c r="A444" t="s">
        <v>618</v>
      </c>
      <c r="B444">
        <v>2150</v>
      </c>
      <c r="C444">
        <v>2100</v>
      </c>
      <c r="D444">
        <v>6</v>
      </c>
    </row>
    <row r="445" spans="1:4" x14ac:dyDescent="0.35">
      <c r="A445" t="s">
        <v>619</v>
      </c>
      <c r="B445">
        <v>569069</v>
      </c>
      <c r="C445">
        <v>550754</v>
      </c>
      <c r="D445">
        <v>10</v>
      </c>
    </row>
    <row r="446" spans="1:4" x14ac:dyDescent="0.35">
      <c r="A446" t="s">
        <v>620</v>
      </c>
      <c r="B446">
        <v>64999</v>
      </c>
      <c r="C446">
        <v>50001</v>
      </c>
      <c r="D446">
        <v>3</v>
      </c>
    </row>
    <row r="447" spans="1:4" x14ac:dyDescent="0.35">
      <c r="A447" t="s">
        <v>621</v>
      </c>
      <c r="B447">
        <v>182000</v>
      </c>
      <c r="C447">
        <v>163000</v>
      </c>
      <c r="D447">
        <v>13</v>
      </c>
    </row>
    <row r="448" spans="1:4" x14ac:dyDescent="0.35">
      <c r="A448" t="s">
        <v>622</v>
      </c>
      <c r="B448">
        <v>27347233</v>
      </c>
      <c r="C448">
        <v>26850000</v>
      </c>
      <c r="D448">
        <v>75</v>
      </c>
    </row>
    <row r="449" spans="1:4" x14ac:dyDescent="0.35">
      <c r="A449" t="s">
        <v>623</v>
      </c>
      <c r="B449">
        <v>39396</v>
      </c>
      <c r="C449">
        <v>27828</v>
      </c>
      <c r="D449">
        <v>15</v>
      </c>
    </row>
    <row r="450" spans="1:4" x14ac:dyDescent="0.35">
      <c r="A450" t="s">
        <v>624</v>
      </c>
      <c r="B450">
        <v>89613</v>
      </c>
      <c r="C450">
        <v>83788</v>
      </c>
      <c r="D450">
        <v>17</v>
      </c>
    </row>
    <row r="451" spans="1:4" x14ac:dyDescent="0.35">
      <c r="A451" t="s">
        <v>625</v>
      </c>
      <c r="B451">
        <v>15000</v>
      </c>
      <c r="C451">
        <v>3000</v>
      </c>
      <c r="D451">
        <v>1</v>
      </c>
    </row>
    <row r="452" spans="1:4" x14ac:dyDescent="0.35">
      <c r="A452" t="s">
        <v>626</v>
      </c>
      <c r="B452">
        <v>97659</v>
      </c>
      <c r="C452">
        <v>97555</v>
      </c>
      <c r="D452">
        <v>19</v>
      </c>
    </row>
    <row r="453" spans="1:4" x14ac:dyDescent="0.35">
      <c r="A453" t="s">
        <v>627</v>
      </c>
      <c r="B453">
        <v>273062</v>
      </c>
      <c r="C453">
        <v>260263</v>
      </c>
      <c r="D453">
        <v>12</v>
      </c>
    </row>
    <row r="454" spans="1:4" x14ac:dyDescent="0.35">
      <c r="A454" t="s">
        <v>628</v>
      </c>
      <c r="B454">
        <v>367000</v>
      </c>
      <c r="C454">
        <v>328000</v>
      </c>
      <c r="D454">
        <v>2</v>
      </c>
    </row>
    <row r="455" spans="1:4" x14ac:dyDescent="0.35">
      <c r="A455" t="s">
        <v>629</v>
      </c>
      <c r="B455">
        <v>519995</v>
      </c>
      <c r="C455">
        <v>505000</v>
      </c>
      <c r="D455">
        <v>8</v>
      </c>
    </row>
    <row r="456" spans="1:4" x14ac:dyDescent="0.35">
      <c r="A456" t="s">
        <v>630</v>
      </c>
      <c r="B456">
        <v>37458</v>
      </c>
      <c r="C456">
        <v>37353</v>
      </c>
      <c r="D456">
        <v>1</v>
      </c>
    </row>
    <row r="457" spans="1:4" x14ac:dyDescent="0.35">
      <c r="A457" t="s">
        <v>631</v>
      </c>
      <c r="B457">
        <v>20063671</v>
      </c>
      <c r="C457">
        <v>19568634</v>
      </c>
      <c r="D457">
        <v>47</v>
      </c>
    </row>
    <row r="458" spans="1:4" x14ac:dyDescent="0.35">
      <c r="A458" t="s">
        <v>632</v>
      </c>
      <c r="B458">
        <v>3923581</v>
      </c>
      <c r="C458">
        <v>3735183</v>
      </c>
      <c r="D458">
        <v>0</v>
      </c>
    </row>
    <row r="459" spans="1:4" x14ac:dyDescent="0.35">
      <c r="A459" t="s">
        <v>633</v>
      </c>
      <c r="B459">
        <v>19000000</v>
      </c>
      <c r="C459">
        <v>18515111</v>
      </c>
      <c r="D459">
        <v>9</v>
      </c>
    </row>
    <row r="460" spans="1:4" x14ac:dyDescent="0.35">
      <c r="A460" t="s">
        <v>634</v>
      </c>
      <c r="B460">
        <v>34566</v>
      </c>
      <c r="C460">
        <v>33065</v>
      </c>
      <c r="D460">
        <v>0</v>
      </c>
    </row>
    <row r="461" spans="1:4" x14ac:dyDescent="0.35">
      <c r="A461" t="s">
        <v>635</v>
      </c>
      <c r="B461">
        <v>6480</v>
      </c>
      <c r="C461">
        <v>4799</v>
      </c>
      <c r="D461">
        <v>1</v>
      </c>
    </row>
    <row r="462" spans="1:4" x14ac:dyDescent="0.35">
      <c r="A462" t="s">
        <v>636</v>
      </c>
      <c r="B462">
        <v>1319</v>
      </c>
      <c r="C462">
        <v>1006</v>
      </c>
      <c r="D462">
        <v>21</v>
      </c>
    </row>
    <row r="463" spans="1:4" x14ac:dyDescent="0.35">
      <c r="A463" t="s">
        <v>637</v>
      </c>
      <c r="B463">
        <v>1382</v>
      </c>
      <c r="C463">
        <v>2000</v>
      </c>
      <c r="D463">
        <v>14</v>
      </c>
    </row>
    <row r="464" spans="1:4" x14ac:dyDescent="0.35">
      <c r="A464" t="s">
        <v>638</v>
      </c>
      <c r="B464">
        <v>6500</v>
      </c>
      <c r="C464">
        <v>902</v>
      </c>
      <c r="D464">
        <v>8</v>
      </c>
    </row>
    <row r="465" spans="1:4" x14ac:dyDescent="0.35">
      <c r="A465" t="s">
        <v>639</v>
      </c>
      <c r="B465">
        <v>1544</v>
      </c>
      <c r="C465">
        <v>928</v>
      </c>
      <c r="D465">
        <v>15</v>
      </c>
    </row>
    <row r="466" spans="1:4" x14ac:dyDescent="0.35">
      <c r="A466" t="s">
        <v>640</v>
      </c>
      <c r="B466">
        <v>121680</v>
      </c>
      <c r="C466">
        <v>120225</v>
      </c>
      <c r="D466">
        <v>12</v>
      </c>
    </row>
    <row r="467" spans="1:4" x14ac:dyDescent="0.35">
      <c r="A467" t="s">
        <v>641</v>
      </c>
      <c r="B467">
        <v>39578</v>
      </c>
      <c r="C467">
        <v>38001</v>
      </c>
      <c r="D467">
        <v>1</v>
      </c>
    </row>
    <row r="468" spans="1:4" x14ac:dyDescent="0.35">
      <c r="A468" t="s">
        <v>642</v>
      </c>
      <c r="B468">
        <v>45985</v>
      </c>
      <c r="C468">
        <v>37850</v>
      </c>
      <c r="D468">
        <v>0</v>
      </c>
    </row>
    <row r="469" spans="1:4" x14ac:dyDescent="0.35">
      <c r="A469" t="s">
        <v>643</v>
      </c>
      <c r="B469">
        <v>30511</v>
      </c>
      <c r="C469">
        <v>26161</v>
      </c>
      <c r="D469">
        <v>0</v>
      </c>
    </row>
    <row r="470" spans="1:4" x14ac:dyDescent="0.35">
      <c r="A470" t="s">
        <v>644</v>
      </c>
      <c r="B470">
        <v>47240</v>
      </c>
      <c r="C470">
        <v>34921</v>
      </c>
      <c r="D470">
        <v>11</v>
      </c>
    </row>
    <row r="471" spans="1:4" x14ac:dyDescent="0.35">
      <c r="A471" t="s">
        <v>645</v>
      </c>
      <c r="B471">
        <v>258868</v>
      </c>
      <c r="C471">
        <v>235244</v>
      </c>
      <c r="D471">
        <v>3</v>
      </c>
    </row>
    <row r="472" spans="1:4" x14ac:dyDescent="0.35">
      <c r="A472" t="s">
        <v>646</v>
      </c>
      <c r="B472">
        <v>261868</v>
      </c>
      <c r="C472">
        <v>234006</v>
      </c>
      <c r="D472">
        <v>1</v>
      </c>
    </row>
    <row r="473" spans="1:4" x14ac:dyDescent="0.35">
      <c r="A473" t="s">
        <v>647</v>
      </c>
      <c r="B473">
        <v>5000</v>
      </c>
      <c r="C473">
        <v>4444</v>
      </c>
      <c r="D473">
        <v>2</v>
      </c>
    </row>
    <row r="474" spans="1:4" x14ac:dyDescent="0.35">
      <c r="A474" t="s">
        <v>648</v>
      </c>
      <c r="B474">
        <v>18424756</v>
      </c>
      <c r="C474">
        <v>18150671</v>
      </c>
      <c r="D474">
        <v>69</v>
      </c>
    </row>
    <row r="475" spans="1:4" x14ac:dyDescent="0.35">
      <c r="A475" t="s">
        <v>649</v>
      </c>
      <c r="B475">
        <v>9986647</v>
      </c>
      <c r="C475">
        <v>9000005</v>
      </c>
      <c r="D475">
        <v>0</v>
      </c>
    </row>
    <row r="476" spans="1:4" x14ac:dyDescent="0.35">
      <c r="A476" t="s">
        <v>650</v>
      </c>
      <c r="B476">
        <v>69</v>
      </c>
      <c r="C476">
        <v>66</v>
      </c>
      <c r="D476">
        <v>0</v>
      </c>
    </row>
    <row r="477" spans="1:4" x14ac:dyDescent="0.35">
      <c r="A477" t="s">
        <v>651</v>
      </c>
      <c r="B477">
        <v>289</v>
      </c>
      <c r="C477">
        <v>300</v>
      </c>
      <c r="D477">
        <v>1</v>
      </c>
    </row>
    <row r="478" spans="1:4" x14ac:dyDescent="0.35">
      <c r="A478" t="s">
        <v>652</v>
      </c>
      <c r="B478">
        <v>1500</v>
      </c>
      <c r="C478">
        <v>522</v>
      </c>
      <c r="D478">
        <v>1</v>
      </c>
    </row>
    <row r="479" spans="1:4" x14ac:dyDescent="0.35">
      <c r="A479" t="s">
        <v>653</v>
      </c>
      <c r="B479">
        <v>66</v>
      </c>
      <c r="C479">
        <v>18</v>
      </c>
      <c r="D479">
        <v>0</v>
      </c>
    </row>
    <row r="480" spans="1:4" x14ac:dyDescent="0.35">
      <c r="A480" t="s">
        <v>654</v>
      </c>
      <c r="B480">
        <v>88</v>
      </c>
      <c r="C480">
        <v>88</v>
      </c>
      <c r="D480">
        <v>1840</v>
      </c>
    </row>
    <row r="481" spans="1:4" x14ac:dyDescent="0.35">
      <c r="A481" t="s">
        <v>655</v>
      </c>
      <c r="B481">
        <v>226</v>
      </c>
      <c r="C481">
        <v>200</v>
      </c>
      <c r="D481">
        <v>0</v>
      </c>
    </row>
    <row r="482" spans="1:4" x14ac:dyDescent="0.35">
      <c r="A482" t="s">
        <v>656</v>
      </c>
      <c r="B482">
        <v>670</v>
      </c>
      <c r="C482">
        <v>837</v>
      </c>
      <c r="D482">
        <v>8</v>
      </c>
    </row>
    <row r="483" spans="1:4" x14ac:dyDescent="0.35">
      <c r="A483" t="s">
        <v>657</v>
      </c>
      <c r="B483">
        <v>12</v>
      </c>
      <c r="C483">
        <v>10</v>
      </c>
      <c r="D483">
        <v>12426</v>
      </c>
    </row>
    <row r="484" spans="1:4" x14ac:dyDescent="0.35">
      <c r="A484" t="s">
        <v>658</v>
      </c>
      <c r="B484">
        <v>22</v>
      </c>
      <c r="C484">
        <v>25</v>
      </c>
      <c r="D484">
        <v>0</v>
      </c>
    </row>
    <row r="485" spans="1:4" x14ac:dyDescent="0.35">
      <c r="A485" t="s">
        <v>659</v>
      </c>
      <c r="B485">
        <v>1846754</v>
      </c>
      <c r="C485">
        <v>1772713</v>
      </c>
      <c r="D485">
        <v>0</v>
      </c>
    </row>
    <row r="486" spans="1:4" x14ac:dyDescent="0.35">
      <c r="A486" t="s">
        <v>660</v>
      </c>
      <c r="B486">
        <v>1551</v>
      </c>
      <c r="C486">
        <v>850</v>
      </c>
      <c r="D486">
        <v>22</v>
      </c>
    </row>
    <row r="487" spans="1:4" x14ac:dyDescent="0.35">
      <c r="A487" t="s">
        <v>661</v>
      </c>
      <c r="B487">
        <v>20512</v>
      </c>
      <c r="C487">
        <v>19607</v>
      </c>
      <c r="D487">
        <v>50</v>
      </c>
    </row>
    <row r="488" spans="1:4" x14ac:dyDescent="0.35">
      <c r="A488" t="s">
        <v>662</v>
      </c>
      <c r="B488">
        <v>2880</v>
      </c>
      <c r="C488">
        <v>2780</v>
      </c>
      <c r="D488">
        <v>2612</v>
      </c>
    </row>
    <row r="489" spans="1:4" x14ac:dyDescent="0.35">
      <c r="A489" t="s">
        <v>663</v>
      </c>
      <c r="B489">
        <v>694</v>
      </c>
      <c r="C489">
        <v>694</v>
      </c>
      <c r="D489">
        <v>9392</v>
      </c>
    </row>
    <row r="490" spans="1:4" x14ac:dyDescent="0.35">
      <c r="A490" t="s">
        <v>664</v>
      </c>
      <c r="B490">
        <v>18434720</v>
      </c>
      <c r="C490">
        <v>17980037</v>
      </c>
      <c r="D490">
        <v>28</v>
      </c>
    </row>
    <row r="491" spans="1:4" x14ac:dyDescent="0.35">
      <c r="A491" t="s">
        <v>665</v>
      </c>
      <c r="B491">
        <v>2</v>
      </c>
      <c r="C491">
        <v>2</v>
      </c>
      <c r="D491">
        <v>548</v>
      </c>
    </row>
    <row r="492" spans="1:4" x14ac:dyDescent="0.35">
      <c r="A492" t="s">
        <v>666</v>
      </c>
      <c r="B492">
        <v>104</v>
      </c>
      <c r="C492">
        <v>102</v>
      </c>
      <c r="D492">
        <v>1969</v>
      </c>
    </row>
    <row r="493" spans="1:4" x14ac:dyDescent="0.35">
      <c r="A493" t="s">
        <v>667</v>
      </c>
      <c r="B493">
        <v>8453</v>
      </c>
      <c r="C493">
        <v>5520</v>
      </c>
      <c r="D493">
        <v>0</v>
      </c>
    </row>
    <row r="494" spans="1:4" x14ac:dyDescent="0.35">
      <c r="A494" t="s">
        <v>668</v>
      </c>
      <c r="B494">
        <v>9000</v>
      </c>
      <c r="C494">
        <v>10899</v>
      </c>
      <c r="D494">
        <v>4</v>
      </c>
    </row>
    <row r="495" spans="1:4" x14ac:dyDescent="0.35">
      <c r="A495" t="s">
        <v>26</v>
      </c>
      <c r="B495">
        <v>14797</v>
      </c>
      <c r="C495">
        <v>14511</v>
      </c>
      <c r="D495">
        <v>4002</v>
      </c>
    </row>
    <row r="496" spans="1:4" x14ac:dyDescent="0.35">
      <c r="A496" t="s">
        <v>33</v>
      </c>
      <c r="B496">
        <v>20700</v>
      </c>
      <c r="C496">
        <v>20167</v>
      </c>
      <c r="D496">
        <v>368</v>
      </c>
    </row>
    <row r="497" spans="1:4" x14ac:dyDescent="0.35">
      <c r="A497" t="s">
        <v>669</v>
      </c>
      <c r="B497">
        <v>380</v>
      </c>
      <c r="C497">
        <v>380</v>
      </c>
      <c r="D497">
        <v>17</v>
      </c>
    </row>
    <row r="498" spans="1:4" x14ac:dyDescent="0.35">
      <c r="A498" t="s">
        <v>670</v>
      </c>
      <c r="B498">
        <v>1</v>
      </c>
      <c r="C498">
        <v>101</v>
      </c>
      <c r="D498">
        <v>0</v>
      </c>
    </row>
    <row r="499" spans="1:4" x14ac:dyDescent="0.35">
      <c r="A499" t="s">
        <v>671</v>
      </c>
      <c r="B499">
        <v>1844</v>
      </c>
      <c r="C499">
        <v>1781</v>
      </c>
      <c r="D499">
        <v>294</v>
      </c>
    </row>
    <row r="500" spans="1:4" x14ac:dyDescent="0.35">
      <c r="A500" t="s">
        <v>672</v>
      </c>
      <c r="B500">
        <v>1</v>
      </c>
      <c r="C500">
        <v>2501</v>
      </c>
      <c r="D500">
        <v>0</v>
      </c>
    </row>
    <row r="501" spans="1:4" x14ac:dyDescent="0.35">
      <c r="A501" t="s">
        <v>673</v>
      </c>
      <c r="B501">
        <v>9051</v>
      </c>
      <c r="C501">
        <v>7800</v>
      </c>
      <c r="D501">
        <v>2</v>
      </c>
    </row>
    <row r="502" spans="1:4" x14ac:dyDescent="0.35">
      <c r="A502" t="s">
        <v>29</v>
      </c>
      <c r="B502">
        <v>13788</v>
      </c>
      <c r="C502">
        <v>13789</v>
      </c>
      <c r="D502">
        <v>2</v>
      </c>
    </row>
    <row r="503" spans="1:4" x14ac:dyDescent="0.35">
      <c r="A503" t="s">
        <v>35</v>
      </c>
      <c r="B503">
        <v>21000</v>
      </c>
      <c r="C503">
        <v>20722</v>
      </c>
      <c r="D503">
        <v>52</v>
      </c>
    </row>
    <row r="504" spans="1:4" x14ac:dyDescent="0.35">
      <c r="A504" t="s">
        <v>674</v>
      </c>
      <c r="B504">
        <v>8008</v>
      </c>
      <c r="C504">
        <v>8000</v>
      </c>
      <c r="D504">
        <v>41150</v>
      </c>
    </row>
    <row r="505" spans="1:4" x14ac:dyDescent="0.35">
      <c r="A505" t="s">
        <v>675</v>
      </c>
      <c r="B505">
        <v>2864</v>
      </c>
      <c r="C505">
        <v>2055</v>
      </c>
      <c r="D505">
        <v>2</v>
      </c>
    </row>
    <row r="506" spans="1:4" x14ac:dyDescent="0.35">
      <c r="A506" t="s">
        <v>676</v>
      </c>
      <c r="B506">
        <v>22523</v>
      </c>
      <c r="C506">
        <v>25690</v>
      </c>
      <c r="D506">
        <v>4</v>
      </c>
    </row>
    <row r="507" spans="1:4" x14ac:dyDescent="0.35">
      <c r="A507" t="s">
        <v>677</v>
      </c>
      <c r="B507">
        <v>42</v>
      </c>
      <c r="C507">
        <v>42</v>
      </c>
      <c r="D507">
        <v>105</v>
      </c>
    </row>
    <row r="508" spans="1:4" x14ac:dyDescent="0.35">
      <c r="A508" t="s">
        <v>678</v>
      </c>
      <c r="B508">
        <v>99</v>
      </c>
      <c r="C508">
        <v>79</v>
      </c>
      <c r="D508">
        <v>4083</v>
      </c>
    </row>
    <row r="509" spans="1:4" x14ac:dyDescent="0.35">
      <c r="A509" t="s">
        <v>679</v>
      </c>
      <c r="B509">
        <v>1</v>
      </c>
      <c r="C509">
        <v>500</v>
      </c>
      <c r="D509">
        <v>0</v>
      </c>
    </row>
    <row r="510" spans="1:4" x14ac:dyDescent="0.35">
      <c r="A510" t="s">
        <v>680</v>
      </c>
      <c r="B510">
        <v>21</v>
      </c>
      <c r="C510">
        <v>24</v>
      </c>
      <c r="D510">
        <v>49</v>
      </c>
    </row>
    <row r="511" spans="1:4" x14ac:dyDescent="0.35">
      <c r="A511" t="s">
        <v>681</v>
      </c>
      <c r="B511">
        <v>1140</v>
      </c>
      <c r="C511">
        <v>401</v>
      </c>
      <c r="D511">
        <v>0</v>
      </c>
    </row>
    <row r="512" spans="1:4" x14ac:dyDescent="0.35">
      <c r="A512" t="s">
        <v>682</v>
      </c>
      <c r="B512">
        <v>414134</v>
      </c>
      <c r="C512">
        <v>150000</v>
      </c>
      <c r="D512">
        <v>0</v>
      </c>
    </row>
    <row r="513" spans="1:4" x14ac:dyDescent="0.35">
      <c r="A513" t="s">
        <v>683</v>
      </c>
      <c r="B513">
        <v>210</v>
      </c>
      <c r="C513">
        <v>150</v>
      </c>
      <c r="D513">
        <v>4001</v>
      </c>
    </row>
    <row r="514" spans="1:4" x14ac:dyDescent="0.35">
      <c r="A514" t="s">
        <v>684</v>
      </c>
      <c r="B514">
        <v>31573450</v>
      </c>
      <c r="C514">
        <v>30806605</v>
      </c>
      <c r="D514">
        <v>14</v>
      </c>
    </row>
    <row r="515" spans="1:4" x14ac:dyDescent="0.35">
      <c r="A515" t="s">
        <v>685</v>
      </c>
      <c r="B515">
        <v>550000</v>
      </c>
      <c r="C515">
        <v>530913</v>
      </c>
      <c r="D515">
        <v>175</v>
      </c>
    </row>
    <row r="516" spans="1:4" x14ac:dyDescent="0.35">
      <c r="A516" t="s">
        <v>686</v>
      </c>
      <c r="B516">
        <v>550000</v>
      </c>
      <c r="C516">
        <v>555000</v>
      </c>
      <c r="D516">
        <v>27</v>
      </c>
    </row>
    <row r="517" spans="1:4" x14ac:dyDescent="0.35">
      <c r="A517" t="s">
        <v>687</v>
      </c>
      <c r="B517">
        <v>42468</v>
      </c>
      <c r="C517">
        <v>41401</v>
      </c>
      <c r="D517">
        <v>57</v>
      </c>
    </row>
    <row r="518" spans="1:4" x14ac:dyDescent="0.35">
      <c r="A518" t="s">
        <v>688</v>
      </c>
      <c r="B518">
        <v>3350000</v>
      </c>
      <c r="C518">
        <v>3200000</v>
      </c>
      <c r="D518">
        <v>2</v>
      </c>
    </row>
    <row r="519" spans="1:4" x14ac:dyDescent="0.35">
      <c r="A519" t="s">
        <v>689</v>
      </c>
      <c r="B519">
        <v>2313574</v>
      </c>
      <c r="C519">
        <v>2208025</v>
      </c>
      <c r="D519">
        <v>18</v>
      </c>
    </row>
    <row r="520" spans="1:4" x14ac:dyDescent="0.35">
      <c r="A520" t="s">
        <v>690</v>
      </c>
      <c r="B520">
        <v>15000</v>
      </c>
      <c r="C520">
        <v>7194</v>
      </c>
      <c r="D520">
        <v>3</v>
      </c>
    </row>
    <row r="521" spans="1:4" x14ac:dyDescent="0.35">
      <c r="A521" t="s">
        <v>691</v>
      </c>
      <c r="B521">
        <v>3096169</v>
      </c>
      <c r="C521">
        <v>3096169</v>
      </c>
      <c r="D521">
        <v>73</v>
      </c>
    </row>
    <row r="522" spans="1:4" x14ac:dyDescent="0.35">
      <c r="A522" t="s">
        <v>692</v>
      </c>
      <c r="B522">
        <v>318</v>
      </c>
      <c r="C522">
        <v>309</v>
      </c>
      <c r="D522">
        <v>7007</v>
      </c>
    </row>
    <row r="523" spans="1:4" x14ac:dyDescent="0.35">
      <c r="A523" t="s">
        <v>693</v>
      </c>
      <c r="B523">
        <v>490</v>
      </c>
      <c r="C523">
        <v>182</v>
      </c>
      <c r="D523">
        <v>14</v>
      </c>
    </row>
    <row r="524" spans="1:4" x14ac:dyDescent="0.35">
      <c r="A524" t="s">
        <v>694</v>
      </c>
      <c r="B524">
        <v>275000</v>
      </c>
      <c r="C524">
        <v>228744</v>
      </c>
      <c r="D524">
        <v>2</v>
      </c>
    </row>
    <row r="525" spans="1:4" x14ac:dyDescent="0.35">
      <c r="A525" t="s">
        <v>695</v>
      </c>
      <c r="B525">
        <v>727</v>
      </c>
      <c r="C525">
        <v>703</v>
      </c>
      <c r="D525">
        <v>943</v>
      </c>
    </row>
    <row r="526" spans="1:4" x14ac:dyDescent="0.35">
      <c r="A526" t="s">
        <v>696</v>
      </c>
      <c r="B526">
        <v>509</v>
      </c>
      <c r="C526">
        <v>535</v>
      </c>
      <c r="D526">
        <v>10</v>
      </c>
    </row>
    <row r="527" spans="1:4" x14ac:dyDescent="0.35">
      <c r="A527" t="s">
        <v>697</v>
      </c>
      <c r="B527">
        <v>4980</v>
      </c>
      <c r="C527">
        <v>4902</v>
      </c>
      <c r="D527">
        <v>9729</v>
      </c>
    </row>
    <row r="528" spans="1:4" x14ac:dyDescent="0.35">
      <c r="A528" t="s">
        <v>698</v>
      </c>
      <c r="B528">
        <v>40</v>
      </c>
      <c r="C528">
        <v>13</v>
      </c>
      <c r="D528">
        <v>14</v>
      </c>
    </row>
    <row r="529" spans="1:4" x14ac:dyDescent="0.35">
      <c r="A529" t="s">
        <v>699</v>
      </c>
      <c r="B529">
        <v>935</v>
      </c>
      <c r="C529">
        <v>1040</v>
      </c>
      <c r="D529">
        <v>4</v>
      </c>
    </row>
    <row r="530" spans="1:4" x14ac:dyDescent="0.35">
      <c r="A530" t="s">
        <v>700</v>
      </c>
      <c r="B530">
        <v>1675</v>
      </c>
      <c r="C530">
        <v>1342</v>
      </c>
      <c r="D530">
        <v>64</v>
      </c>
    </row>
    <row r="531" spans="1:4" x14ac:dyDescent="0.35">
      <c r="A531" t="s">
        <v>701</v>
      </c>
      <c r="B531">
        <v>632</v>
      </c>
      <c r="C531">
        <v>632</v>
      </c>
      <c r="D531">
        <v>16</v>
      </c>
    </row>
    <row r="532" spans="1:4" x14ac:dyDescent="0.35">
      <c r="A532" t="s">
        <v>702</v>
      </c>
      <c r="B532">
        <v>2301</v>
      </c>
      <c r="C532">
        <v>2025</v>
      </c>
      <c r="D532">
        <v>46</v>
      </c>
    </row>
    <row r="533" spans="1:4" x14ac:dyDescent="0.35">
      <c r="A533" t="s">
        <v>703</v>
      </c>
      <c r="B533">
        <v>66000</v>
      </c>
      <c r="C533">
        <v>53460</v>
      </c>
      <c r="D533">
        <v>3</v>
      </c>
    </row>
    <row r="534" spans="1:4" x14ac:dyDescent="0.35">
      <c r="A534" t="s">
        <v>704</v>
      </c>
      <c r="B534">
        <v>10000</v>
      </c>
      <c r="C534">
        <v>6500</v>
      </c>
      <c r="D534">
        <v>2</v>
      </c>
    </row>
    <row r="535" spans="1:4" x14ac:dyDescent="0.35">
      <c r="A535" t="s">
        <v>705</v>
      </c>
      <c r="B535">
        <v>268</v>
      </c>
      <c r="C535">
        <v>268</v>
      </c>
      <c r="D535">
        <v>12</v>
      </c>
    </row>
    <row r="536" spans="1:4" x14ac:dyDescent="0.35">
      <c r="A536" t="s">
        <v>706</v>
      </c>
      <c r="B536">
        <v>1151</v>
      </c>
      <c r="C536">
        <v>1220</v>
      </c>
      <c r="D536">
        <v>0</v>
      </c>
    </row>
    <row r="537" spans="1:4" x14ac:dyDescent="0.35">
      <c r="A537" t="s">
        <v>707</v>
      </c>
      <c r="B537">
        <v>2968</v>
      </c>
      <c r="C537">
        <v>2026</v>
      </c>
      <c r="D537">
        <v>1</v>
      </c>
    </row>
    <row r="538" spans="1:4" x14ac:dyDescent="0.35">
      <c r="A538" t="s">
        <v>708</v>
      </c>
      <c r="B538">
        <v>409</v>
      </c>
      <c r="C538">
        <v>409</v>
      </c>
      <c r="D538">
        <v>10</v>
      </c>
    </row>
    <row r="539" spans="1:4" x14ac:dyDescent="0.35">
      <c r="A539" t="s">
        <v>709</v>
      </c>
      <c r="B539">
        <v>63598</v>
      </c>
      <c r="C539">
        <v>40000</v>
      </c>
      <c r="D539">
        <v>3</v>
      </c>
    </row>
    <row r="540" spans="1:4" x14ac:dyDescent="0.35">
      <c r="A540" t="s">
        <v>710</v>
      </c>
      <c r="B540">
        <v>2207</v>
      </c>
      <c r="C540">
        <v>2079</v>
      </c>
      <c r="D540">
        <v>2</v>
      </c>
    </row>
    <row r="541" spans="1:4" x14ac:dyDescent="0.35">
      <c r="A541" t="s">
        <v>711</v>
      </c>
      <c r="B541">
        <v>2769</v>
      </c>
      <c r="C541">
        <v>2725</v>
      </c>
      <c r="D541">
        <v>62123</v>
      </c>
    </row>
    <row r="542" spans="1:4" x14ac:dyDescent="0.35">
      <c r="A542" t="s">
        <v>712</v>
      </c>
      <c r="B542">
        <v>27500</v>
      </c>
      <c r="C542">
        <v>27010</v>
      </c>
      <c r="D542">
        <v>3</v>
      </c>
    </row>
    <row r="543" spans="1:4" x14ac:dyDescent="0.35">
      <c r="A543" t="s">
        <v>713</v>
      </c>
      <c r="B543">
        <v>7334</v>
      </c>
      <c r="C543">
        <v>7333</v>
      </c>
      <c r="D543">
        <v>1249</v>
      </c>
    </row>
    <row r="544" spans="1:4" x14ac:dyDescent="0.35">
      <c r="A544" t="s">
        <v>714</v>
      </c>
      <c r="B544">
        <v>10871</v>
      </c>
      <c r="C544">
        <v>7002</v>
      </c>
      <c r="D544">
        <v>3</v>
      </c>
    </row>
    <row r="545" spans="1:4" x14ac:dyDescent="0.35">
      <c r="A545" t="s">
        <v>715</v>
      </c>
      <c r="B545">
        <v>7286</v>
      </c>
      <c r="C545">
        <v>15354</v>
      </c>
      <c r="D545">
        <v>0</v>
      </c>
    </row>
    <row r="546" spans="1:4" x14ac:dyDescent="0.35">
      <c r="A546" t="s">
        <v>716</v>
      </c>
      <c r="B546">
        <v>3584</v>
      </c>
      <c r="C546">
        <v>3501</v>
      </c>
      <c r="D546">
        <v>443</v>
      </c>
    </row>
    <row r="547" spans="1:4" x14ac:dyDescent="0.35">
      <c r="A547" t="s">
        <v>717</v>
      </c>
      <c r="B547">
        <v>90652</v>
      </c>
      <c r="C547">
        <v>97503</v>
      </c>
      <c r="D547">
        <v>1</v>
      </c>
    </row>
    <row r="548" spans="1:4" x14ac:dyDescent="0.35">
      <c r="A548" t="s">
        <v>718</v>
      </c>
      <c r="B548">
        <v>32560</v>
      </c>
      <c r="C548">
        <v>21101</v>
      </c>
      <c r="D548">
        <v>0</v>
      </c>
    </row>
    <row r="549" spans="1:4" x14ac:dyDescent="0.35">
      <c r="A549" t="s">
        <v>719</v>
      </c>
      <c r="B549">
        <v>20030</v>
      </c>
      <c r="C549">
        <v>18093</v>
      </c>
      <c r="D549">
        <v>33</v>
      </c>
    </row>
    <row r="550" spans="1:4" x14ac:dyDescent="0.35">
      <c r="A550" t="s">
        <v>720</v>
      </c>
      <c r="B550">
        <v>2580</v>
      </c>
      <c r="C550">
        <v>2450</v>
      </c>
      <c r="D550">
        <v>142</v>
      </c>
    </row>
    <row r="551" spans="1:4" x14ac:dyDescent="0.35">
      <c r="A551" t="s">
        <v>721</v>
      </c>
      <c r="B551">
        <v>654</v>
      </c>
      <c r="C551">
        <v>651</v>
      </c>
      <c r="D551">
        <v>34</v>
      </c>
    </row>
    <row r="552" spans="1:4" x14ac:dyDescent="0.35">
      <c r="A552" t="s">
        <v>722</v>
      </c>
      <c r="B552">
        <v>50</v>
      </c>
      <c r="C552">
        <v>50</v>
      </c>
      <c r="D552">
        <v>0</v>
      </c>
    </row>
    <row r="553" spans="1:4" x14ac:dyDescent="0.35">
      <c r="A553" t="s">
        <v>723</v>
      </c>
      <c r="B553">
        <v>1809</v>
      </c>
      <c r="C553">
        <v>2335</v>
      </c>
      <c r="D553">
        <v>0</v>
      </c>
    </row>
    <row r="554" spans="1:4" x14ac:dyDescent="0.35">
      <c r="A554" t="s">
        <v>724</v>
      </c>
      <c r="B554">
        <v>1286</v>
      </c>
      <c r="C554">
        <v>5261</v>
      </c>
      <c r="D554">
        <v>0</v>
      </c>
    </row>
    <row r="555" spans="1:4" x14ac:dyDescent="0.35">
      <c r="A555" t="s">
        <v>725</v>
      </c>
      <c r="B555">
        <v>3488</v>
      </c>
      <c r="C555">
        <v>3671</v>
      </c>
      <c r="D555">
        <v>0</v>
      </c>
    </row>
    <row r="556" spans="1:4" x14ac:dyDescent="0.35">
      <c r="A556" t="s">
        <v>726</v>
      </c>
      <c r="B556">
        <v>8998</v>
      </c>
      <c r="C556">
        <v>99</v>
      </c>
      <c r="D556">
        <v>0</v>
      </c>
    </row>
    <row r="557" spans="1:4" x14ac:dyDescent="0.35">
      <c r="A557" t="s">
        <v>727</v>
      </c>
      <c r="B557">
        <v>15</v>
      </c>
      <c r="C557">
        <v>45</v>
      </c>
      <c r="D557">
        <v>0</v>
      </c>
    </row>
    <row r="558" spans="1:4" x14ac:dyDescent="0.35">
      <c r="A558" t="s">
        <v>728</v>
      </c>
      <c r="B558">
        <v>1000</v>
      </c>
      <c r="C558">
        <v>203</v>
      </c>
      <c r="D558">
        <v>0</v>
      </c>
    </row>
    <row r="559" spans="1:4" x14ac:dyDescent="0.35">
      <c r="A559" t="s">
        <v>729</v>
      </c>
      <c r="B559">
        <v>49995</v>
      </c>
      <c r="C559">
        <v>35000</v>
      </c>
      <c r="D559">
        <v>1</v>
      </c>
    </row>
    <row r="560" spans="1:4" x14ac:dyDescent="0.35">
      <c r="A560" t="s">
        <v>730</v>
      </c>
      <c r="B560">
        <v>1999</v>
      </c>
      <c r="C560">
        <v>20</v>
      </c>
      <c r="D560">
        <v>1</v>
      </c>
    </row>
    <row r="561" spans="1:4" x14ac:dyDescent="0.35">
      <c r="A561" t="s">
        <v>731</v>
      </c>
      <c r="B561">
        <v>250</v>
      </c>
      <c r="C561">
        <v>35</v>
      </c>
      <c r="D561">
        <v>3</v>
      </c>
    </row>
    <row r="562" spans="1:4" x14ac:dyDescent="0.35">
      <c r="A562" t="s">
        <v>732</v>
      </c>
      <c r="B562">
        <v>4012</v>
      </c>
      <c r="C562">
        <v>4001</v>
      </c>
      <c r="D562">
        <v>14495</v>
      </c>
    </row>
    <row r="563" spans="1:4" x14ac:dyDescent="0.35">
      <c r="A563" t="s">
        <v>733</v>
      </c>
      <c r="B563">
        <v>39425</v>
      </c>
      <c r="C563">
        <v>38000</v>
      </c>
      <c r="D563">
        <v>3</v>
      </c>
    </row>
    <row r="564" spans="1:4" x14ac:dyDescent="0.35">
      <c r="A564" t="s">
        <v>734</v>
      </c>
      <c r="B564">
        <v>3699</v>
      </c>
      <c r="C564">
        <v>3691</v>
      </c>
      <c r="D564">
        <v>15374</v>
      </c>
    </row>
    <row r="565" spans="1:4" x14ac:dyDescent="0.35">
      <c r="A565" t="s">
        <v>735</v>
      </c>
      <c r="B565">
        <v>15595</v>
      </c>
      <c r="C565">
        <v>15000</v>
      </c>
      <c r="D565">
        <v>46</v>
      </c>
    </row>
    <row r="566" spans="1:4" x14ac:dyDescent="0.35">
      <c r="A566" t="s">
        <v>736</v>
      </c>
      <c r="B566">
        <v>14000</v>
      </c>
      <c r="C566">
        <v>2222</v>
      </c>
      <c r="D566">
        <v>3</v>
      </c>
    </row>
    <row r="567" spans="1:4" x14ac:dyDescent="0.35">
      <c r="A567" t="s">
        <v>737</v>
      </c>
      <c r="B567">
        <v>20000</v>
      </c>
      <c r="C567">
        <v>6788</v>
      </c>
      <c r="D567">
        <v>0</v>
      </c>
    </row>
    <row r="568" spans="1:4" x14ac:dyDescent="0.35">
      <c r="A568" t="s">
        <v>738</v>
      </c>
      <c r="B568">
        <v>1489000</v>
      </c>
      <c r="C568">
        <v>1245004</v>
      </c>
      <c r="D568">
        <v>0</v>
      </c>
    </row>
    <row r="569" spans="1:4" x14ac:dyDescent="0.35">
      <c r="A569" t="s">
        <v>739</v>
      </c>
      <c r="B569">
        <v>20694</v>
      </c>
      <c r="C569">
        <v>17110</v>
      </c>
      <c r="D569">
        <v>1</v>
      </c>
    </row>
    <row r="570" spans="1:4" x14ac:dyDescent="0.35">
      <c r="A570" t="s">
        <v>740</v>
      </c>
      <c r="B570">
        <v>593</v>
      </c>
      <c r="C570">
        <v>562</v>
      </c>
      <c r="D570">
        <v>56</v>
      </c>
    </row>
    <row r="571" spans="1:4" x14ac:dyDescent="0.35">
      <c r="A571" t="s">
        <v>741</v>
      </c>
      <c r="B571">
        <v>86995</v>
      </c>
      <c r="C571">
        <v>80007</v>
      </c>
      <c r="D571">
        <v>0</v>
      </c>
    </row>
    <row r="572" spans="1:4" x14ac:dyDescent="0.35">
      <c r="A572" t="s">
        <v>742</v>
      </c>
      <c r="B572">
        <v>29998</v>
      </c>
      <c r="C572">
        <v>25191</v>
      </c>
      <c r="D572">
        <v>2</v>
      </c>
    </row>
    <row r="573" spans="1:4" x14ac:dyDescent="0.35">
      <c r="A573" t="s">
        <v>743</v>
      </c>
      <c r="B573">
        <v>426003</v>
      </c>
      <c r="C573">
        <v>435000</v>
      </c>
      <c r="D573">
        <v>2</v>
      </c>
    </row>
    <row r="574" spans="1:4" x14ac:dyDescent="0.35">
      <c r="A574" t="s">
        <v>744</v>
      </c>
      <c r="B574">
        <v>542924</v>
      </c>
      <c r="C574">
        <v>400000</v>
      </c>
      <c r="D574">
        <v>0</v>
      </c>
    </row>
    <row r="575" spans="1:4" x14ac:dyDescent="0.35">
      <c r="A575" t="s">
        <v>745</v>
      </c>
      <c r="B575">
        <v>8000</v>
      </c>
      <c r="C575">
        <v>8000</v>
      </c>
      <c r="D575">
        <v>0</v>
      </c>
    </row>
    <row r="576" spans="1:4" x14ac:dyDescent="0.35">
      <c r="A576" t="s">
        <v>746</v>
      </c>
      <c r="B576">
        <v>4999</v>
      </c>
      <c r="C576">
        <v>2000</v>
      </c>
      <c r="D576">
        <v>3</v>
      </c>
    </row>
    <row r="577" spans="1:4" x14ac:dyDescent="0.35">
      <c r="A577" t="s">
        <v>747</v>
      </c>
      <c r="B577">
        <v>5510</v>
      </c>
      <c r="C577">
        <v>5500</v>
      </c>
      <c r="D577">
        <v>0</v>
      </c>
    </row>
    <row r="578" spans="1:4" x14ac:dyDescent="0.35">
      <c r="A578" t="s">
        <v>748</v>
      </c>
      <c r="B578">
        <v>6430</v>
      </c>
      <c r="C578">
        <v>5700</v>
      </c>
      <c r="D578">
        <v>0</v>
      </c>
    </row>
    <row r="579" spans="1:4" x14ac:dyDescent="0.35">
      <c r="A579" t="s">
        <v>749</v>
      </c>
      <c r="B579">
        <v>5414</v>
      </c>
      <c r="C579">
        <v>5200</v>
      </c>
      <c r="D579">
        <v>1</v>
      </c>
    </row>
    <row r="580" spans="1:4" x14ac:dyDescent="0.35">
      <c r="A580" t="s">
        <v>750</v>
      </c>
      <c r="B580">
        <v>15000</v>
      </c>
      <c r="C580">
        <v>3600</v>
      </c>
      <c r="D580">
        <v>0</v>
      </c>
    </row>
    <row r="581" spans="1:4" x14ac:dyDescent="0.35">
      <c r="A581" t="s">
        <v>751</v>
      </c>
      <c r="B581">
        <v>4703</v>
      </c>
      <c r="C581">
        <v>4700</v>
      </c>
      <c r="D581">
        <v>0</v>
      </c>
    </row>
    <row r="582" spans="1:4" x14ac:dyDescent="0.35">
      <c r="A582" t="s">
        <v>752</v>
      </c>
      <c r="B582">
        <v>1160</v>
      </c>
      <c r="C582">
        <v>1160</v>
      </c>
      <c r="D582">
        <v>10</v>
      </c>
    </row>
    <row r="583" spans="1:4" x14ac:dyDescent="0.35">
      <c r="A583" t="s">
        <v>753</v>
      </c>
      <c r="B583">
        <v>122186</v>
      </c>
      <c r="C583">
        <v>112000</v>
      </c>
      <c r="D583">
        <v>1</v>
      </c>
    </row>
    <row r="584" spans="1:4" x14ac:dyDescent="0.35">
      <c r="A584" t="s">
        <v>754</v>
      </c>
      <c r="B584">
        <v>30000</v>
      </c>
      <c r="C584">
        <v>13511</v>
      </c>
      <c r="D584">
        <v>1</v>
      </c>
    </row>
    <row r="585" spans="1:4" x14ac:dyDescent="0.35">
      <c r="A585" t="s">
        <v>755</v>
      </c>
      <c r="B585">
        <v>24</v>
      </c>
      <c r="C585">
        <v>42</v>
      </c>
      <c r="D585">
        <v>3114</v>
      </c>
    </row>
    <row r="586" spans="1:4" x14ac:dyDescent="0.35">
      <c r="A586" t="s">
        <v>756</v>
      </c>
      <c r="B586">
        <v>303</v>
      </c>
      <c r="C586">
        <v>1</v>
      </c>
      <c r="D586">
        <v>0</v>
      </c>
    </row>
    <row r="587" spans="1:4" x14ac:dyDescent="0.35">
      <c r="A587" t="s">
        <v>757</v>
      </c>
      <c r="B587">
        <v>181</v>
      </c>
      <c r="C587">
        <v>49500</v>
      </c>
      <c r="D587">
        <v>0</v>
      </c>
    </row>
    <row r="588" spans="1:4" x14ac:dyDescent="0.35">
      <c r="A588" t="s">
        <v>758</v>
      </c>
      <c r="B588">
        <v>630</v>
      </c>
      <c r="C588">
        <v>1237</v>
      </c>
      <c r="D588">
        <v>0</v>
      </c>
    </row>
    <row r="589" spans="1:4" x14ac:dyDescent="0.35">
      <c r="A589" t="s">
        <v>759</v>
      </c>
      <c r="B589">
        <v>9874</v>
      </c>
      <c r="C589">
        <v>4558</v>
      </c>
      <c r="D589">
        <v>1</v>
      </c>
    </row>
    <row r="590" spans="1:4" x14ac:dyDescent="0.35">
      <c r="A590" t="s">
        <v>760</v>
      </c>
      <c r="B590">
        <v>99998</v>
      </c>
      <c r="C590">
        <v>3100</v>
      </c>
      <c r="D590">
        <v>0</v>
      </c>
    </row>
    <row r="591" spans="1:4" x14ac:dyDescent="0.35">
      <c r="A591" t="s">
        <v>761</v>
      </c>
      <c r="B591">
        <v>442</v>
      </c>
      <c r="C591">
        <v>443</v>
      </c>
      <c r="D591">
        <v>19</v>
      </c>
    </row>
    <row r="592" spans="1:4" x14ac:dyDescent="0.35">
      <c r="A592" t="s">
        <v>762</v>
      </c>
      <c r="B592">
        <v>1042</v>
      </c>
      <c r="C592">
        <v>1095</v>
      </c>
      <c r="D592">
        <v>2</v>
      </c>
    </row>
    <row r="593" spans="1:4" x14ac:dyDescent="0.35">
      <c r="A593" t="s">
        <v>763</v>
      </c>
      <c r="B593">
        <v>808522</v>
      </c>
      <c r="C593">
        <v>788862</v>
      </c>
      <c r="D593">
        <v>30</v>
      </c>
    </row>
    <row r="594" spans="1:4" x14ac:dyDescent="0.35">
      <c r="A594" t="s">
        <v>764</v>
      </c>
      <c r="B594">
        <v>814887</v>
      </c>
      <c r="C594">
        <v>802372</v>
      </c>
      <c r="D594">
        <v>10</v>
      </c>
    </row>
    <row r="595" spans="1:4" x14ac:dyDescent="0.35">
      <c r="A595" t="s">
        <v>765</v>
      </c>
      <c r="B595">
        <v>654</v>
      </c>
      <c r="C595">
        <v>421</v>
      </c>
      <c r="D595">
        <v>10</v>
      </c>
    </row>
    <row r="596" spans="1:4" x14ac:dyDescent="0.35">
      <c r="A596" t="s">
        <v>766</v>
      </c>
      <c r="B596">
        <v>2323</v>
      </c>
      <c r="C596">
        <v>2050</v>
      </c>
      <c r="D596">
        <v>8</v>
      </c>
    </row>
    <row r="597" spans="1:4" x14ac:dyDescent="0.35">
      <c r="A597" t="s">
        <v>767</v>
      </c>
      <c r="B597">
        <v>4599</v>
      </c>
      <c r="C597">
        <v>3793</v>
      </c>
      <c r="D597">
        <v>33</v>
      </c>
    </row>
    <row r="598" spans="1:4" x14ac:dyDescent="0.35">
      <c r="A598" t="s">
        <v>768</v>
      </c>
      <c r="B598">
        <v>3344</v>
      </c>
      <c r="C598">
        <v>2870</v>
      </c>
      <c r="D598">
        <v>43</v>
      </c>
    </row>
    <row r="599" spans="1:4" x14ac:dyDescent="0.35">
      <c r="A599" t="s">
        <v>769</v>
      </c>
      <c r="B599">
        <v>135062</v>
      </c>
      <c r="C599">
        <v>121911</v>
      </c>
      <c r="D599">
        <v>1</v>
      </c>
    </row>
    <row r="600" spans="1:4" x14ac:dyDescent="0.35">
      <c r="A600" t="s">
        <v>770</v>
      </c>
      <c r="B600">
        <v>1425</v>
      </c>
      <c r="C600">
        <v>1200</v>
      </c>
      <c r="D600">
        <v>0</v>
      </c>
    </row>
    <row r="601" spans="1:4" x14ac:dyDescent="0.35">
      <c r="A601" t="s">
        <v>771</v>
      </c>
      <c r="B601">
        <v>2069</v>
      </c>
      <c r="C601">
        <v>1000</v>
      </c>
      <c r="D601">
        <v>4</v>
      </c>
    </row>
    <row r="602" spans="1:4" x14ac:dyDescent="0.35">
      <c r="A602" t="s">
        <v>772</v>
      </c>
      <c r="B602">
        <v>2040</v>
      </c>
      <c r="C602">
        <v>2040</v>
      </c>
      <c r="D602">
        <v>0</v>
      </c>
    </row>
    <row r="603" spans="1:4" x14ac:dyDescent="0.35">
      <c r="A603" t="s">
        <v>773</v>
      </c>
      <c r="B603">
        <v>7999</v>
      </c>
      <c r="C603">
        <v>3450</v>
      </c>
      <c r="D603">
        <v>1</v>
      </c>
    </row>
    <row r="604" spans="1:4" x14ac:dyDescent="0.35">
      <c r="A604" t="s">
        <v>774</v>
      </c>
      <c r="B604">
        <v>2183</v>
      </c>
      <c r="C604">
        <v>2040</v>
      </c>
      <c r="D604">
        <v>0</v>
      </c>
    </row>
    <row r="605" spans="1:4" x14ac:dyDescent="0.35">
      <c r="A605" t="s">
        <v>775</v>
      </c>
      <c r="B605">
        <v>37500</v>
      </c>
      <c r="C605">
        <v>23779</v>
      </c>
      <c r="D605">
        <v>3</v>
      </c>
    </row>
    <row r="606" spans="1:4" x14ac:dyDescent="0.35">
      <c r="A606" t="s">
        <v>776</v>
      </c>
      <c r="B606">
        <v>1239</v>
      </c>
      <c r="C606">
        <v>1239</v>
      </c>
      <c r="D606">
        <v>47</v>
      </c>
    </row>
    <row r="607" spans="1:4" x14ac:dyDescent="0.35">
      <c r="A607" t="s">
        <v>777</v>
      </c>
      <c r="B607">
        <v>39495</v>
      </c>
      <c r="C607">
        <v>38666</v>
      </c>
      <c r="D607">
        <v>0</v>
      </c>
    </row>
    <row r="608" spans="1:4" x14ac:dyDescent="0.35">
      <c r="A608" t="s">
        <v>778</v>
      </c>
      <c r="B608">
        <v>36872</v>
      </c>
      <c r="C608">
        <v>15000</v>
      </c>
      <c r="D608">
        <v>3</v>
      </c>
    </row>
    <row r="609" spans="1:4" x14ac:dyDescent="0.35">
      <c r="A609" t="s">
        <v>779</v>
      </c>
      <c r="B609">
        <v>2364</v>
      </c>
      <c r="C609">
        <v>1750</v>
      </c>
      <c r="D609">
        <v>4</v>
      </c>
    </row>
    <row r="610" spans="1:4" x14ac:dyDescent="0.35">
      <c r="A610" t="s">
        <v>780</v>
      </c>
      <c r="B610">
        <v>9555</v>
      </c>
      <c r="C610">
        <v>5255</v>
      </c>
      <c r="D610">
        <v>0</v>
      </c>
    </row>
    <row r="611" spans="1:4" x14ac:dyDescent="0.35">
      <c r="A611" t="s">
        <v>781</v>
      </c>
      <c r="B611">
        <v>1154</v>
      </c>
      <c r="C611">
        <v>800</v>
      </c>
      <c r="D611">
        <v>0</v>
      </c>
    </row>
    <row r="612" spans="1:4" x14ac:dyDescent="0.35">
      <c r="A612" t="s">
        <v>782</v>
      </c>
      <c r="B612">
        <v>625</v>
      </c>
      <c r="C612">
        <v>601</v>
      </c>
      <c r="D612">
        <v>30</v>
      </c>
    </row>
    <row r="613" spans="1:4" x14ac:dyDescent="0.35">
      <c r="A613" t="s">
        <v>783</v>
      </c>
      <c r="B613">
        <v>230</v>
      </c>
      <c r="C613">
        <v>150</v>
      </c>
      <c r="D613">
        <v>19</v>
      </c>
    </row>
    <row r="614" spans="1:4" x14ac:dyDescent="0.35">
      <c r="A614" t="s">
        <v>784</v>
      </c>
      <c r="B614">
        <v>6710</v>
      </c>
      <c r="C614">
        <v>5107</v>
      </c>
      <c r="D614">
        <v>28</v>
      </c>
    </row>
    <row r="615" spans="1:4" x14ac:dyDescent="0.35">
      <c r="A615" t="s">
        <v>785</v>
      </c>
      <c r="B615">
        <v>8608</v>
      </c>
      <c r="C615">
        <v>4295</v>
      </c>
      <c r="D615">
        <v>10</v>
      </c>
    </row>
    <row r="616" spans="1:4" x14ac:dyDescent="0.35">
      <c r="A616" t="s">
        <v>786</v>
      </c>
      <c r="B616">
        <v>9035</v>
      </c>
      <c r="C616">
        <v>9035</v>
      </c>
      <c r="D616">
        <v>1</v>
      </c>
    </row>
    <row r="617" spans="1:4" x14ac:dyDescent="0.35">
      <c r="A617" t="s">
        <v>787</v>
      </c>
      <c r="B617">
        <v>1634</v>
      </c>
      <c r="C617">
        <v>1333</v>
      </c>
      <c r="D617">
        <v>0</v>
      </c>
    </row>
    <row r="618" spans="1:4" x14ac:dyDescent="0.35">
      <c r="A618" t="s">
        <v>788</v>
      </c>
      <c r="B618">
        <v>1550</v>
      </c>
      <c r="C618">
        <v>1543</v>
      </c>
      <c r="D618">
        <v>0</v>
      </c>
    </row>
    <row r="619" spans="1:4" x14ac:dyDescent="0.35">
      <c r="A619" t="s">
        <v>789</v>
      </c>
      <c r="B619">
        <v>1864</v>
      </c>
      <c r="C619">
        <v>1842</v>
      </c>
      <c r="D619">
        <v>1</v>
      </c>
    </row>
    <row r="620" spans="1:4" x14ac:dyDescent="0.35">
      <c r="A620" t="s">
        <v>790</v>
      </c>
      <c r="B620">
        <v>1543</v>
      </c>
      <c r="C620">
        <v>1538</v>
      </c>
      <c r="D620">
        <v>0</v>
      </c>
    </row>
    <row r="621" spans="1:4" x14ac:dyDescent="0.35">
      <c r="A621" t="s">
        <v>791</v>
      </c>
      <c r="B621">
        <v>3592</v>
      </c>
      <c r="C621">
        <v>3592</v>
      </c>
      <c r="D621">
        <v>0</v>
      </c>
    </row>
    <row r="622" spans="1:4" x14ac:dyDescent="0.35">
      <c r="A622" t="s">
        <v>792</v>
      </c>
      <c r="B622">
        <v>150</v>
      </c>
      <c r="C622">
        <v>50</v>
      </c>
      <c r="D622">
        <v>2</v>
      </c>
    </row>
    <row r="623" spans="1:4" x14ac:dyDescent="0.35">
      <c r="A623" t="s">
        <v>793</v>
      </c>
      <c r="B623">
        <v>53700</v>
      </c>
      <c r="C623">
        <v>51320</v>
      </c>
      <c r="D623">
        <v>0</v>
      </c>
    </row>
    <row r="624" spans="1:4" x14ac:dyDescent="0.35">
      <c r="A624" t="s">
        <v>794</v>
      </c>
      <c r="B624">
        <v>95000</v>
      </c>
      <c r="C624">
        <v>75000</v>
      </c>
      <c r="D624">
        <v>5</v>
      </c>
    </row>
    <row r="625" spans="1:4" x14ac:dyDescent="0.35">
      <c r="A625" t="s">
        <v>795</v>
      </c>
      <c r="B625">
        <v>3461</v>
      </c>
      <c r="C625">
        <v>3530</v>
      </c>
      <c r="D625">
        <v>0</v>
      </c>
    </row>
    <row r="626" spans="1:4" x14ac:dyDescent="0.35">
      <c r="A626" t="s">
        <v>796</v>
      </c>
      <c r="B626">
        <v>923</v>
      </c>
      <c r="C626">
        <v>10000</v>
      </c>
      <c r="D626">
        <v>0</v>
      </c>
    </row>
    <row r="627" spans="1:4" x14ac:dyDescent="0.35">
      <c r="A627" t="s">
        <v>797</v>
      </c>
      <c r="B627">
        <v>7000</v>
      </c>
      <c r="C627">
        <v>10556</v>
      </c>
      <c r="D627">
        <v>0</v>
      </c>
    </row>
    <row r="628" spans="1:4" x14ac:dyDescent="0.35">
      <c r="A628" t="s">
        <v>798</v>
      </c>
      <c r="B628">
        <v>200000</v>
      </c>
      <c r="C628">
        <v>200000</v>
      </c>
      <c r="D628">
        <v>0</v>
      </c>
    </row>
    <row r="629" spans="1:4" x14ac:dyDescent="0.35">
      <c r="A629" t="s">
        <v>799</v>
      </c>
      <c r="B629">
        <v>2942</v>
      </c>
      <c r="C629">
        <v>3250</v>
      </c>
      <c r="D629">
        <v>1</v>
      </c>
    </row>
    <row r="630" spans="1:4" x14ac:dyDescent="0.35">
      <c r="A630" t="s">
        <v>800</v>
      </c>
      <c r="B630">
        <v>561</v>
      </c>
      <c r="C630">
        <v>536</v>
      </c>
      <c r="D630">
        <v>10</v>
      </c>
    </row>
    <row r="631" spans="1:4" x14ac:dyDescent="0.35">
      <c r="A631" t="s">
        <v>801</v>
      </c>
      <c r="B631">
        <v>362</v>
      </c>
      <c r="C631">
        <v>361</v>
      </c>
      <c r="D631">
        <v>15</v>
      </c>
    </row>
    <row r="632" spans="1:4" x14ac:dyDescent="0.35">
      <c r="A632" t="s">
        <v>802</v>
      </c>
      <c r="B632">
        <v>2076097</v>
      </c>
      <c r="C632">
        <v>2045000</v>
      </c>
      <c r="D632">
        <v>0</v>
      </c>
    </row>
    <row r="633" spans="1:4" x14ac:dyDescent="0.35">
      <c r="A633" t="s">
        <v>803</v>
      </c>
      <c r="B633">
        <v>359</v>
      </c>
      <c r="C633">
        <v>260</v>
      </c>
      <c r="D633">
        <v>0</v>
      </c>
    </row>
    <row r="634" spans="1:4" x14ac:dyDescent="0.35">
      <c r="A634" t="s">
        <v>804</v>
      </c>
      <c r="B634">
        <v>220111</v>
      </c>
      <c r="C634">
        <v>120505</v>
      </c>
      <c r="D634">
        <v>0</v>
      </c>
    </row>
    <row r="635" spans="1:4" x14ac:dyDescent="0.35">
      <c r="A635" t="s">
        <v>805</v>
      </c>
      <c r="B635">
        <v>90977</v>
      </c>
      <c r="C635">
        <v>75000</v>
      </c>
      <c r="D635">
        <v>0</v>
      </c>
    </row>
    <row r="636" spans="1:4" x14ac:dyDescent="0.35">
      <c r="A636" t="s">
        <v>806</v>
      </c>
      <c r="B636">
        <v>24889</v>
      </c>
      <c r="C636">
        <v>20000</v>
      </c>
      <c r="D636">
        <v>2</v>
      </c>
    </row>
    <row r="637" spans="1:4" x14ac:dyDescent="0.35">
      <c r="A637" t="s">
        <v>807</v>
      </c>
      <c r="B637">
        <v>720</v>
      </c>
      <c r="C637">
        <v>702</v>
      </c>
      <c r="D637">
        <v>5</v>
      </c>
    </row>
    <row r="638" spans="1:4" x14ac:dyDescent="0.35">
      <c r="A638" t="s">
        <v>808</v>
      </c>
      <c r="B638">
        <v>203</v>
      </c>
      <c r="C638">
        <v>111</v>
      </c>
      <c r="D638">
        <v>0</v>
      </c>
    </row>
    <row r="639" spans="1:4" x14ac:dyDescent="0.35">
      <c r="A639" t="s">
        <v>809</v>
      </c>
      <c r="B639">
        <v>3841</v>
      </c>
      <c r="C639">
        <v>150</v>
      </c>
      <c r="D639">
        <v>0</v>
      </c>
    </row>
    <row r="640" spans="1:4" x14ac:dyDescent="0.35">
      <c r="A640" t="s">
        <v>810</v>
      </c>
      <c r="B640">
        <v>1000</v>
      </c>
      <c r="C640">
        <v>758</v>
      </c>
      <c r="D640">
        <v>0</v>
      </c>
    </row>
    <row r="641" spans="1:4" x14ac:dyDescent="0.35">
      <c r="A641" t="s">
        <v>811</v>
      </c>
      <c r="B641">
        <v>223173</v>
      </c>
      <c r="C641">
        <v>216607</v>
      </c>
      <c r="D641">
        <v>3</v>
      </c>
    </row>
    <row r="642" spans="1:4" x14ac:dyDescent="0.35">
      <c r="A642" t="s">
        <v>812</v>
      </c>
      <c r="B642">
        <v>118179</v>
      </c>
      <c r="C642">
        <v>111111</v>
      </c>
      <c r="D642">
        <v>5</v>
      </c>
    </row>
    <row r="643" spans="1:4" x14ac:dyDescent="0.35">
      <c r="A643" t="s">
        <v>813</v>
      </c>
      <c r="B643">
        <v>236896</v>
      </c>
      <c r="C643">
        <v>220000</v>
      </c>
      <c r="D643">
        <v>2</v>
      </c>
    </row>
    <row r="644" spans="1:4" x14ac:dyDescent="0.35">
      <c r="A644" t="s">
        <v>814</v>
      </c>
      <c r="B644">
        <v>169999</v>
      </c>
      <c r="C644">
        <v>155000</v>
      </c>
      <c r="D644">
        <v>4</v>
      </c>
    </row>
    <row r="645" spans="1:4" x14ac:dyDescent="0.35">
      <c r="A645" t="s">
        <v>815</v>
      </c>
      <c r="B645">
        <v>369</v>
      </c>
      <c r="C645">
        <v>35</v>
      </c>
      <c r="D645">
        <v>1</v>
      </c>
    </row>
    <row r="646" spans="1:4" x14ac:dyDescent="0.35">
      <c r="A646" t="s">
        <v>816</v>
      </c>
      <c r="B646">
        <v>13964</v>
      </c>
      <c r="C646">
        <v>8888</v>
      </c>
      <c r="D646">
        <v>3</v>
      </c>
    </row>
    <row r="647" spans="1:4" x14ac:dyDescent="0.35">
      <c r="A647" t="s">
        <v>817</v>
      </c>
      <c r="B647">
        <v>162400000</v>
      </c>
      <c r="C647">
        <v>157837845</v>
      </c>
      <c r="D647">
        <v>0</v>
      </c>
    </row>
    <row r="648" spans="1:4" x14ac:dyDescent="0.35">
      <c r="A648" t="s">
        <v>818</v>
      </c>
      <c r="B648">
        <v>50000</v>
      </c>
      <c r="C648">
        <v>1539</v>
      </c>
      <c r="D648">
        <v>0</v>
      </c>
    </row>
    <row r="649" spans="1:4" x14ac:dyDescent="0.35">
      <c r="A649" t="s">
        <v>819</v>
      </c>
      <c r="B649">
        <v>9995</v>
      </c>
      <c r="C649">
        <v>2055</v>
      </c>
      <c r="D649">
        <v>0</v>
      </c>
    </row>
    <row r="650" spans="1:4" x14ac:dyDescent="0.35">
      <c r="A650" t="s">
        <v>820</v>
      </c>
      <c r="B650">
        <v>42000</v>
      </c>
      <c r="C650">
        <v>1169</v>
      </c>
      <c r="D650">
        <v>0</v>
      </c>
    </row>
    <row r="651" spans="1:4" x14ac:dyDescent="0.35">
      <c r="A651" t="s">
        <v>821</v>
      </c>
      <c r="B651">
        <v>282</v>
      </c>
      <c r="C651">
        <v>310</v>
      </c>
      <c r="D651">
        <v>1</v>
      </c>
    </row>
    <row r="652" spans="1:4" x14ac:dyDescent="0.35">
      <c r="A652" t="s">
        <v>822</v>
      </c>
      <c r="B652">
        <v>15001</v>
      </c>
      <c r="C652">
        <v>5000</v>
      </c>
      <c r="D652">
        <v>0</v>
      </c>
    </row>
    <row r="653" spans="1:4" x14ac:dyDescent="0.35">
      <c r="A653" t="s">
        <v>823</v>
      </c>
      <c r="B653">
        <v>276</v>
      </c>
      <c r="C653">
        <v>273</v>
      </c>
      <c r="D653">
        <v>0</v>
      </c>
    </row>
    <row r="654" spans="1:4" x14ac:dyDescent="0.35">
      <c r="A654" t="s">
        <v>824</v>
      </c>
      <c r="B654">
        <v>5357</v>
      </c>
      <c r="C654">
        <v>159</v>
      </c>
      <c r="D654">
        <v>2</v>
      </c>
    </row>
    <row r="655" spans="1:4" x14ac:dyDescent="0.35">
      <c r="A655" t="s">
        <v>825</v>
      </c>
      <c r="B655">
        <v>700</v>
      </c>
      <c r="C655">
        <v>700</v>
      </c>
      <c r="D655">
        <v>1</v>
      </c>
    </row>
    <row r="656" spans="1:4" x14ac:dyDescent="0.35">
      <c r="A656" t="s">
        <v>826</v>
      </c>
      <c r="B656">
        <v>6000</v>
      </c>
      <c r="C656">
        <v>310</v>
      </c>
      <c r="D656">
        <v>0</v>
      </c>
    </row>
    <row r="657" spans="1:4" x14ac:dyDescent="0.35">
      <c r="A657" t="s">
        <v>827</v>
      </c>
      <c r="B657">
        <v>898966</v>
      </c>
      <c r="C657">
        <v>870337</v>
      </c>
      <c r="D657">
        <v>36</v>
      </c>
    </row>
    <row r="658" spans="1:4" x14ac:dyDescent="0.35">
      <c r="A658" t="s">
        <v>828</v>
      </c>
      <c r="B658">
        <v>285</v>
      </c>
      <c r="C658">
        <v>278</v>
      </c>
      <c r="D658">
        <v>117919</v>
      </c>
    </row>
    <row r="659" spans="1:4" x14ac:dyDescent="0.35">
      <c r="A659" t="s">
        <v>829</v>
      </c>
      <c r="B659">
        <v>110</v>
      </c>
      <c r="C659">
        <v>107</v>
      </c>
      <c r="D659">
        <v>41560</v>
      </c>
    </row>
    <row r="660" spans="1:4" x14ac:dyDescent="0.35">
      <c r="A660" t="s">
        <v>830</v>
      </c>
      <c r="B660">
        <v>30</v>
      </c>
      <c r="C660">
        <v>21</v>
      </c>
      <c r="D660">
        <v>0</v>
      </c>
    </row>
    <row r="661" spans="1:4" x14ac:dyDescent="0.35">
      <c r="A661" t="s">
        <v>831</v>
      </c>
      <c r="B661">
        <v>71</v>
      </c>
      <c r="C661">
        <v>70</v>
      </c>
      <c r="D661">
        <v>8883</v>
      </c>
    </row>
    <row r="662" spans="1:4" x14ac:dyDescent="0.35">
      <c r="A662" t="s">
        <v>832</v>
      </c>
      <c r="B662">
        <v>79</v>
      </c>
      <c r="C662">
        <v>78</v>
      </c>
      <c r="D662">
        <v>33734</v>
      </c>
    </row>
    <row r="663" spans="1:4" x14ac:dyDescent="0.35">
      <c r="A663" t="s">
        <v>833</v>
      </c>
      <c r="B663">
        <v>175</v>
      </c>
      <c r="C663">
        <v>169</v>
      </c>
      <c r="D663">
        <v>58058</v>
      </c>
    </row>
    <row r="664" spans="1:4" x14ac:dyDescent="0.35">
      <c r="A664" t="s">
        <v>834</v>
      </c>
      <c r="B664">
        <v>0</v>
      </c>
      <c r="C664">
        <v>0</v>
      </c>
      <c r="D664">
        <v>0</v>
      </c>
    </row>
    <row r="665" spans="1:4" x14ac:dyDescent="0.35">
      <c r="A665" t="s">
        <v>835</v>
      </c>
      <c r="B665">
        <v>0</v>
      </c>
      <c r="C665">
        <v>0</v>
      </c>
      <c r="D665">
        <v>0</v>
      </c>
    </row>
    <row r="666" spans="1:4" x14ac:dyDescent="0.35">
      <c r="A666" t="s">
        <v>836</v>
      </c>
      <c r="B666">
        <v>0</v>
      </c>
      <c r="C666">
        <v>0</v>
      </c>
      <c r="D666">
        <v>0</v>
      </c>
    </row>
    <row r="667" spans="1:4" x14ac:dyDescent="0.35">
      <c r="A667" t="s">
        <v>837</v>
      </c>
      <c r="B667">
        <v>0</v>
      </c>
      <c r="C667">
        <v>0</v>
      </c>
      <c r="D667">
        <v>0</v>
      </c>
    </row>
    <row r="668" spans="1:4" x14ac:dyDescent="0.35">
      <c r="A668" t="s">
        <v>838</v>
      </c>
      <c r="B668">
        <v>99</v>
      </c>
      <c r="C668">
        <v>77</v>
      </c>
      <c r="D668">
        <v>0</v>
      </c>
    </row>
    <row r="669" spans="1:4" x14ac:dyDescent="0.35">
      <c r="A669" t="s">
        <v>839</v>
      </c>
      <c r="B669">
        <v>2079</v>
      </c>
      <c r="C669">
        <v>2064</v>
      </c>
      <c r="D669">
        <v>27398</v>
      </c>
    </row>
    <row r="670" spans="1:4" x14ac:dyDescent="0.35">
      <c r="A670" t="s">
        <v>840</v>
      </c>
      <c r="B670">
        <v>74</v>
      </c>
      <c r="C670">
        <v>65</v>
      </c>
      <c r="D670">
        <v>3803</v>
      </c>
    </row>
    <row r="671" spans="1:4" x14ac:dyDescent="0.35">
      <c r="A671" t="s">
        <v>841</v>
      </c>
      <c r="B671">
        <v>92</v>
      </c>
      <c r="C671">
        <v>85</v>
      </c>
      <c r="D671">
        <v>10060</v>
      </c>
    </row>
    <row r="672" spans="1:4" x14ac:dyDescent="0.35">
      <c r="A672" t="s">
        <v>842</v>
      </c>
      <c r="B672">
        <v>109801</v>
      </c>
      <c r="C672">
        <v>107450</v>
      </c>
      <c r="D672">
        <v>497</v>
      </c>
    </row>
    <row r="673" spans="1:4" x14ac:dyDescent="0.35">
      <c r="A673" t="s">
        <v>843</v>
      </c>
      <c r="B673">
        <v>23709920</v>
      </c>
      <c r="C673">
        <v>23124418</v>
      </c>
      <c r="D673">
        <v>16</v>
      </c>
    </row>
    <row r="674" spans="1:4" x14ac:dyDescent="0.35">
      <c r="A674" t="s">
        <v>844</v>
      </c>
      <c r="B674">
        <v>4996972</v>
      </c>
      <c r="C674">
        <v>4964675</v>
      </c>
      <c r="D674">
        <v>31</v>
      </c>
    </row>
    <row r="675" spans="1:4" x14ac:dyDescent="0.35">
      <c r="A675" t="s">
        <v>845</v>
      </c>
      <c r="B675">
        <v>4118610</v>
      </c>
      <c r="C675">
        <v>4182507</v>
      </c>
      <c r="D675">
        <v>2</v>
      </c>
    </row>
    <row r="676" spans="1:4" x14ac:dyDescent="0.35">
      <c r="A676" t="s">
        <v>846</v>
      </c>
      <c r="B676">
        <v>935000</v>
      </c>
      <c r="C676">
        <v>905420</v>
      </c>
      <c r="D676">
        <v>19</v>
      </c>
    </row>
    <row r="677" spans="1:4" x14ac:dyDescent="0.35">
      <c r="A677" t="s">
        <v>847</v>
      </c>
      <c r="B677">
        <v>126880</v>
      </c>
      <c r="C677">
        <v>126666</v>
      </c>
      <c r="D677">
        <v>1</v>
      </c>
    </row>
    <row r="678" spans="1:4" x14ac:dyDescent="0.35">
      <c r="A678" t="s">
        <v>848</v>
      </c>
      <c r="B678">
        <v>10583375</v>
      </c>
      <c r="C678">
        <v>10289357</v>
      </c>
      <c r="D678">
        <v>31</v>
      </c>
    </row>
    <row r="679" spans="1:4" x14ac:dyDescent="0.35">
      <c r="A679" t="s">
        <v>849</v>
      </c>
      <c r="B679">
        <v>9451000</v>
      </c>
      <c r="C679">
        <v>9350555</v>
      </c>
      <c r="D679">
        <v>0</v>
      </c>
    </row>
    <row r="680" spans="1:4" x14ac:dyDescent="0.35">
      <c r="A680" t="s">
        <v>850</v>
      </c>
      <c r="B680">
        <v>72</v>
      </c>
      <c r="C680">
        <v>81</v>
      </c>
      <c r="D680">
        <v>1844</v>
      </c>
    </row>
    <row r="681" spans="1:4" x14ac:dyDescent="0.35">
      <c r="A681" t="s">
        <v>851</v>
      </c>
      <c r="B681">
        <v>243</v>
      </c>
      <c r="C681">
        <v>239</v>
      </c>
      <c r="D681">
        <v>1909667</v>
      </c>
    </row>
    <row r="682" spans="1:4" x14ac:dyDescent="0.35">
      <c r="A682" t="s">
        <v>852</v>
      </c>
      <c r="B682">
        <v>6795000</v>
      </c>
      <c r="C682">
        <v>6700005</v>
      </c>
      <c r="D682">
        <v>67</v>
      </c>
    </row>
    <row r="683" spans="1:4" x14ac:dyDescent="0.35">
      <c r="A683" t="s">
        <v>853</v>
      </c>
      <c r="B683">
        <v>211411</v>
      </c>
      <c r="C683">
        <v>152642</v>
      </c>
      <c r="D683">
        <v>0</v>
      </c>
    </row>
    <row r="684" spans="1:4" x14ac:dyDescent="0.35">
      <c r="A684" t="s">
        <v>854</v>
      </c>
      <c r="B684">
        <v>280000</v>
      </c>
      <c r="C684">
        <v>147866</v>
      </c>
      <c r="D684">
        <v>0</v>
      </c>
    </row>
    <row r="685" spans="1:4" x14ac:dyDescent="0.35">
      <c r="A685" t="s">
        <v>855</v>
      </c>
      <c r="B685">
        <v>9999</v>
      </c>
      <c r="C685">
        <v>500</v>
      </c>
      <c r="D685">
        <v>1</v>
      </c>
    </row>
    <row r="686" spans="1:4" x14ac:dyDescent="0.35">
      <c r="A686" t="s">
        <v>856</v>
      </c>
      <c r="B686">
        <v>527628</v>
      </c>
      <c r="C686">
        <v>498250</v>
      </c>
      <c r="D686">
        <v>9</v>
      </c>
    </row>
    <row r="687" spans="1:4" x14ac:dyDescent="0.35">
      <c r="A687" t="s">
        <v>857</v>
      </c>
      <c r="B687">
        <v>167361</v>
      </c>
      <c r="C687">
        <v>159099</v>
      </c>
      <c r="D687">
        <v>77</v>
      </c>
    </row>
    <row r="688" spans="1:4" x14ac:dyDescent="0.35">
      <c r="A688" t="s">
        <v>858</v>
      </c>
      <c r="B688">
        <v>40376</v>
      </c>
      <c r="C688">
        <v>39500</v>
      </c>
      <c r="D688">
        <v>36</v>
      </c>
    </row>
    <row r="689" spans="1:4" x14ac:dyDescent="0.35">
      <c r="A689" t="s">
        <v>859</v>
      </c>
      <c r="B689">
        <v>37915</v>
      </c>
      <c r="C689">
        <v>33085</v>
      </c>
      <c r="D689">
        <v>20</v>
      </c>
    </row>
    <row r="690" spans="1:4" x14ac:dyDescent="0.35">
      <c r="A690" t="s">
        <v>860</v>
      </c>
      <c r="B690">
        <v>86499</v>
      </c>
      <c r="C690">
        <v>79228</v>
      </c>
      <c r="D690">
        <v>21</v>
      </c>
    </row>
    <row r="691" spans="1:4" x14ac:dyDescent="0.35">
      <c r="A691" t="s">
        <v>861</v>
      </c>
      <c r="B691">
        <v>165489</v>
      </c>
      <c r="C691">
        <v>164799</v>
      </c>
      <c r="D691">
        <v>82</v>
      </c>
    </row>
    <row r="692" spans="1:4" x14ac:dyDescent="0.35">
      <c r="A692" t="s">
        <v>862</v>
      </c>
      <c r="B692">
        <v>1965</v>
      </c>
      <c r="C692">
        <v>1750</v>
      </c>
      <c r="D692">
        <v>0</v>
      </c>
    </row>
    <row r="693" spans="1:4" x14ac:dyDescent="0.35">
      <c r="A693" t="s">
        <v>863</v>
      </c>
      <c r="B693">
        <v>18500</v>
      </c>
      <c r="C693">
        <v>11859</v>
      </c>
      <c r="D693">
        <v>3</v>
      </c>
    </row>
    <row r="694" spans="1:4" x14ac:dyDescent="0.35">
      <c r="A694" t="s">
        <v>864</v>
      </c>
      <c r="B694">
        <v>4142</v>
      </c>
      <c r="C694">
        <v>2280</v>
      </c>
      <c r="D694">
        <v>1</v>
      </c>
    </row>
    <row r="695" spans="1:4" x14ac:dyDescent="0.35">
      <c r="A695" t="s">
        <v>865</v>
      </c>
      <c r="B695">
        <v>1161</v>
      </c>
      <c r="C695">
        <v>300</v>
      </c>
      <c r="D695">
        <v>8</v>
      </c>
    </row>
    <row r="696" spans="1:4" x14ac:dyDescent="0.35">
      <c r="A696" t="s">
        <v>866</v>
      </c>
      <c r="B696">
        <v>179</v>
      </c>
      <c r="C696">
        <v>140</v>
      </c>
      <c r="D696">
        <v>1</v>
      </c>
    </row>
    <row r="697" spans="1:4" x14ac:dyDescent="0.35">
      <c r="A697" t="s">
        <v>867</v>
      </c>
      <c r="B697">
        <v>190</v>
      </c>
      <c r="C697">
        <v>52</v>
      </c>
      <c r="D697">
        <v>0</v>
      </c>
    </row>
    <row r="698" spans="1:4" x14ac:dyDescent="0.35">
      <c r="A698" t="s">
        <v>868</v>
      </c>
      <c r="B698">
        <v>287</v>
      </c>
      <c r="C698">
        <v>30</v>
      </c>
      <c r="D698">
        <v>0</v>
      </c>
    </row>
    <row r="699" spans="1:4" x14ac:dyDescent="0.35">
      <c r="A699" t="s">
        <v>869</v>
      </c>
      <c r="B699">
        <v>5118</v>
      </c>
      <c r="C699">
        <v>5081</v>
      </c>
      <c r="D699">
        <v>8299</v>
      </c>
    </row>
    <row r="700" spans="1:4" x14ac:dyDescent="0.35">
      <c r="A700" t="s">
        <v>870</v>
      </c>
      <c r="B700">
        <v>7245</v>
      </c>
      <c r="C700">
        <v>6671</v>
      </c>
      <c r="D700">
        <v>1</v>
      </c>
    </row>
    <row r="701" spans="1:4" x14ac:dyDescent="0.35">
      <c r="A701" t="s">
        <v>871</v>
      </c>
      <c r="B701">
        <v>5015</v>
      </c>
      <c r="C701">
        <v>4954</v>
      </c>
      <c r="D701">
        <v>1</v>
      </c>
    </row>
    <row r="702" spans="1:4" x14ac:dyDescent="0.35">
      <c r="A702" t="s">
        <v>872</v>
      </c>
      <c r="B702">
        <v>2098</v>
      </c>
      <c r="C702">
        <v>2077</v>
      </c>
      <c r="D702">
        <v>221</v>
      </c>
    </row>
    <row r="703" spans="1:4" x14ac:dyDescent="0.35">
      <c r="A703" t="s">
        <v>873</v>
      </c>
      <c r="B703">
        <v>8000</v>
      </c>
      <c r="C703">
        <v>4726</v>
      </c>
      <c r="D703">
        <v>20</v>
      </c>
    </row>
    <row r="704" spans="1:4" x14ac:dyDescent="0.35">
      <c r="A704" t="s">
        <v>874</v>
      </c>
      <c r="B704">
        <v>1960</v>
      </c>
      <c r="C704">
        <v>1850</v>
      </c>
      <c r="D704">
        <v>1</v>
      </c>
    </row>
    <row r="705" spans="1:4" x14ac:dyDescent="0.35">
      <c r="A705" t="s">
        <v>875</v>
      </c>
      <c r="B705">
        <v>4031</v>
      </c>
      <c r="C705">
        <v>3500</v>
      </c>
      <c r="D705">
        <v>10</v>
      </c>
    </row>
    <row r="706" spans="1:4" x14ac:dyDescent="0.35">
      <c r="A706" t="s">
        <v>876</v>
      </c>
      <c r="B706">
        <v>1328</v>
      </c>
      <c r="C706">
        <v>1300</v>
      </c>
      <c r="D706">
        <v>41</v>
      </c>
    </row>
    <row r="707" spans="1:4" x14ac:dyDescent="0.35">
      <c r="A707" t="s">
        <v>877</v>
      </c>
      <c r="B707">
        <v>483099</v>
      </c>
      <c r="C707">
        <v>317436</v>
      </c>
      <c r="D707">
        <v>0</v>
      </c>
    </row>
    <row r="708" spans="1:4" x14ac:dyDescent="0.35">
      <c r="A708" t="s">
        <v>878</v>
      </c>
      <c r="B708">
        <v>2200</v>
      </c>
      <c r="C708">
        <v>2108</v>
      </c>
      <c r="D708">
        <v>19760</v>
      </c>
    </row>
    <row r="709" spans="1:4" x14ac:dyDescent="0.35">
      <c r="A709" t="s">
        <v>879</v>
      </c>
      <c r="B709">
        <v>5534</v>
      </c>
      <c r="C709">
        <v>5530</v>
      </c>
      <c r="D709">
        <v>1</v>
      </c>
    </row>
    <row r="710" spans="1:4" x14ac:dyDescent="0.35">
      <c r="A710" t="s">
        <v>880</v>
      </c>
      <c r="B710">
        <v>17</v>
      </c>
      <c r="C710">
        <v>18</v>
      </c>
      <c r="D710">
        <v>537</v>
      </c>
    </row>
    <row r="711" spans="1:4" x14ac:dyDescent="0.35">
      <c r="A711" t="s">
        <v>881</v>
      </c>
      <c r="B711">
        <v>1765</v>
      </c>
      <c r="C711">
        <v>1766</v>
      </c>
      <c r="D711">
        <v>30354</v>
      </c>
    </row>
    <row r="712" spans="1:4" x14ac:dyDescent="0.35">
      <c r="A712" t="s">
        <v>882</v>
      </c>
      <c r="B712">
        <v>9933</v>
      </c>
      <c r="C712">
        <v>7500</v>
      </c>
      <c r="D712">
        <v>7</v>
      </c>
    </row>
    <row r="713" spans="1:4" x14ac:dyDescent="0.35">
      <c r="A713" t="s">
        <v>883</v>
      </c>
      <c r="B713">
        <v>248</v>
      </c>
      <c r="C713">
        <v>247</v>
      </c>
      <c r="D713">
        <v>73</v>
      </c>
    </row>
    <row r="714" spans="1:4" x14ac:dyDescent="0.35">
      <c r="A714" t="s">
        <v>884</v>
      </c>
      <c r="B714">
        <v>190233</v>
      </c>
      <c r="C714">
        <v>190233</v>
      </c>
      <c r="D714">
        <v>0</v>
      </c>
    </row>
    <row r="715" spans="1:4" x14ac:dyDescent="0.35">
      <c r="A715" t="s">
        <v>885</v>
      </c>
      <c r="B715">
        <v>48286</v>
      </c>
      <c r="C715">
        <v>26318</v>
      </c>
      <c r="D715">
        <v>0</v>
      </c>
    </row>
    <row r="716" spans="1:4" x14ac:dyDescent="0.35">
      <c r="A716" t="s">
        <v>886</v>
      </c>
      <c r="B716">
        <v>13748</v>
      </c>
      <c r="C716">
        <v>6299</v>
      </c>
      <c r="D716">
        <v>1</v>
      </c>
    </row>
    <row r="717" spans="1:4" x14ac:dyDescent="0.35">
      <c r="A717" t="s">
        <v>887</v>
      </c>
      <c r="B717">
        <v>53300</v>
      </c>
      <c r="C717">
        <v>28100</v>
      </c>
      <c r="D717">
        <v>0</v>
      </c>
    </row>
    <row r="718" spans="1:4" x14ac:dyDescent="0.35">
      <c r="A718" t="s">
        <v>888</v>
      </c>
      <c r="B718">
        <v>18</v>
      </c>
      <c r="C718">
        <v>20</v>
      </c>
      <c r="D718">
        <v>14</v>
      </c>
    </row>
    <row r="719" spans="1:4" x14ac:dyDescent="0.35">
      <c r="A719" t="s">
        <v>889</v>
      </c>
      <c r="B719">
        <v>66</v>
      </c>
      <c r="C719">
        <v>70</v>
      </c>
      <c r="D719">
        <v>785</v>
      </c>
    </row>
    <row r="720" spans="1:4" x14ac:dyDescent="0.35">
      <c r="A720" t="s">
        <v>890</v>
      </c>
      <c r="B720">
        <v>4000</v>
      </c>
      <c r="C720">
        <v>300</v>
      </c>
      <c r="D720">
        <v>0</v>
      </c>
    </row>
    <row r="721" spans="1:4" x14ac:dyDescent="0.35">
      <c r="A721" t="s">
        <v>891</v>
      </c>
      <c r="B721">
        <v>9000</v>
      </c>
      <c r="C721">
        <v>7835</v>
      </c>
      <c r="D721">
        <v>8</v>
      </c>
    </row>
    <row r="722" spans="1:4" x14ac:dyDescent="0.35">
      <c r="A722" t="s">
        <v>892</v>
      </c>
      <c r="B722">
        <v>409</v>
      </c>
      <c r="C722">
        <v>165</v>
      </c>
      <c r="D722">
        <v>20</v>
      </c>
    </row>
    <row r="723" spans="1:4" x14ac:dyDescent="0.35">
      <c r="A723" t="s">
        <v>893</v>
      </c>
      <c r="B723">
        <v>9999</v>
      </c>
      <c r="C723">
        <v>3610</v>
      </c>
      <c r="D723">
        <v>0</v>
      </c>
    </row>
    <row r="724" spans="1:4" x14ac:dyDescent="0.35">
      <c r="A724" t="s">
        <v>894</v>
      </c>
      <c r="B724">
        <v>8496373</v>
      </c>
      <c r="C724">
        <v>8471171</v>
      </c>
      <c r="D724">
        <v>9</v>
      </c>
    </row>
    <row r="725" spans="1:4" x14ac:dyDescent="0.35">
      <c r="A725" t="s">
        <v>895</v>
      </c>
      <c r="B725">
        <v>2015000</v>
      </c>
      <c r="C725">
        <v>1958000</v>
      </c>
      <c r="D725">
        <v>26</v>
      </c>
    </row>
    <row r="726" spans="1:4" x14ac:dyDescent="0.35">
      <c r="A726" t="s">
        <v>896</v>
      </c>
      <c r="B726">
        <v>825590</v>
      </c>
      <c r="C726">
        <v>1041330</v>
      </c>
      <c r="D726">
        <v>1</v>
      </c>
    </row>
    <row r="727" spans="1:4" x14ac:dyDescent="0.35">
      <c r="A727" t="s">
        <v>897</v>
      </c>
      <c r="B727">
        <v>889000</v>
      </c>
      <c r="C727">
        <v>887000</v>
      </c>
      <c r="D727">
        <v>18</v>
      </c>
    </row>
    <row r="728" spans="1:4" x14ac:dyDescent="0.35">
      <c r="A728" t="s">
        <v>898</v>
      </c>
      <c r="B728">
        <v>120000</v>
      </c>
      <c r="C728">
        <v>76010</v>
      </c>
      <c r="D728">
        <v>0</v>
      </c>
    </row>
    <row r="729" spans="1:4" x14ac:dyDescent="0.35">
      <c r="A729" t="s">
        <v>899</v>
      </c>
      <c r="B729">
        <v>439301</v>
      </c>
      <c r="C729">
        <v>378000</v>
      </c>
      <c r="D729">
        <v>24</v>
      </c>
    </row>
    <row r="730" spans="1:4" x14ac:dyDescent="0.35">
      <c r="A730" t="s">
        <v>900</v>
      </c>
      <c r="B730">
        <v>5316862</v>
      </c>
      <c r="C730">
        <v>5077894</v>
      </c>
      <c r="D730">
        <v>25</v>
      </c>
    </row>
    <row r="731" spans="1:4" x14ac:dyDescent="0.35">
      <c r="A731" t="s">
        <v>901</v>
      </c>
      <c r="B731">
        <v>3998989</v>
      </c>
      <c r="C731">
        <v>3968175</v>
      </c>
      <c r="D731">
        <v>0</v>
      </c>
    </row>
    <row r="732" spans="1:4" x14ac:dyDescent="0.35">
      <c r="A732" t="s">
        <v>902</v>
      </c>
      <c r="B732">
        <v>19985</v>
      </c>
      <c r="C732">
        <v>16948</v>
      </c>
      <c r="D732">
        <v>30</v>
      </c>
    </row>
    <row r="733" spans="1:4" x14ac:dyDescent="0.35">
      <c r="A733" t="s">
        <v>903</v>
      </c>
      <c r="B733">
        <v>555</v>
      </c>
      <c r="C733">
        <v>125</v>
      </c>
      <c r="D733">
        <v>1</v>
      </c>
    </row>
    <row r="734" spans="1:4" x14ac:dyDescent="0.35">
      <c r="A734" t="s">
        <v>904</v>
      </c>
      <c r="B734">
        <v>2040</v>
      </c>
      <c r="C734">
        <v>1514</v>
      </c>
      <c r="D734">
        <v>3</v>
      </c>
    </row>
    <row r="735" spans="1:4" x14ac:dyDescent="0.35">
      <c r="A735" t="s">
        <v>905</v>
      </c>
      <c r="B735">
        <v>248</v>
      </c>
      <c r="C735">
        <v>150</v>
      </c>
      <c r="D735">
        <v>8</v>
      </c>
    </row>
    <row r="736" spans="1:4" x14ac:dyDescent="0.35">
      <c r="A736" t="s">
        <v>906</v>
      </c>
      <c r="B736">
        <v>30944</v>
      </c>
      <c r="C736">
        <v>30888</v>
      </c>
      <c r="D736">
        <v>1</v>
      </c>
    </row>
    <row r="737" spans="1:4" x14ac:dyDescent="0.35">
      <c r="A737" t="s">
        <v>907</v>
      </c>
      <c r="B737">
        <v>41324</v>
      </c>
      <c r="C737">
        <v>28000</v>
      </c>
      <c r="D737">
        <v>0</v>
      </c>
    </row>
    <row r="738" spans="1:4" x14ac:dyDescent="0.35">
      <c r="A738" t="s">
        <v>908</v>
      </c>
      <c r="B738">
        <v>10000</v>
      </c>
      <c r="C738">
        <v>2012</v>
      </c>
      <c r="D738">
        <v>0</v>
      </c>
    </row>
    <row r="739" spans="1:4" x14ac:dyDescent="0.35">
      <c r="A739" t="s">
        <v>909</v>
      </c>
      <c r="B739">
        <v>472</v>
      </c>
      <c r="C739">
        <v>468</v>
      </c>
      <c r="D739">
        <v>58</v>
      </c>
    </row>
    <row r="740" spans="1:4" x14ac:dyDescent="0.35">
      <c r="A740" t="s">
        <v>910</v>
      </c>
      <c r="B740">
        <v>181591</v>
      </c>
      <c r="C740">
        <v>158058</v>
      </c>
      <c r="D740">
        <v>2</v>
      </c>
    </row>
    <row r="741" spans="1:4" x14ac:dyDescent="0.35">
      <c r="A741" t="s">
        <v>911</v>
      </c>
      <c r="B741">
        <v>40834</v>
      </c>
      <c r="C741">
        <v>41500</v>
      </c>
      <c r="D741">
        <v>2</v>
      </c>
    </row>
    <row r="742" spans="1:4" x14ac:dyDescent="0.35">
      <c r="A742" t="s">
        <v>912</v>
      </c>
      <c r="B742">
        <v>1446</v>
      </c>
      <c r="C742">
        <v>1446</v>
      </c>
      <c r="D742">
        <v>84</v>
      </c>
    </row>
    <row r="743" spans="1:4" x14ac:dyDescent="0.35">
      <c r="A743" t="s">
        <v>913</v>
      </c>
      <c r="B743">
        <v>161945</v>
      </c>
      <c r="C743">
        <v>153849</v>
      </c>
      <c r="D743">
        <v>1</v>
      </c>
    </row>
    <row r="744" spans="1:4" x14ac:dyDescent="0.35">
      <c r="A744" t="s">
        <v>914</v>
      </c>
      <c r="B744">
        <v>45340</v>
      </c>
      <c r="C744">
        <v>43632</v>
      </c>
      <c r="D744">
        <v>3</v>
      </c>
    </row>
    <row r="745" spans="1:4" x14ac:dyDescent="0.35">
      <c r="A745" t="s">
        <v>915</v>
      </c>
      <c r="B745">
        <v>1839</v>
      </c>
      <c r="C745">
        <v>1835</v>
      </c>
      <c r="D745">
        <v>9240</v>
      </c>
    </row>
    <row r="746" spans="1:4" x14ac:dyDescent="0.35">
      <c r="A746" t="s">
        <v>916</v>
      </c>
      <c r="B746">
        <v>30</v>
      </c>
      <c r="C746">
        <v>30</v>
      </c>
      <c r="D746">
        <v>1</v>
      </c>
    </row>
    <row r="747" spans="1:4" x14ac:dyDescent="0.35">
      <c r="A747" t="s">
        <v>917</v>
      </c>
      <c r="B747">
        <v>7995</v>
      </c>
      <c r="C747">
        <v>2000</v>
      </c>
      <c r="D747">
        <v>0</v>
      </c>
    </row>
    <row r="748" spans="1:4" x14ac:dyDescent="0.35">
      <c r="A748" t="s">
        <v>918</v>
      </c>
      <c r="B748">
        <v>21135</v>
      </c>
      <c r="C748">
        <v>19237</v>
      </c>
      <c r="D748">
        <v>43</v>
      </c>
    </row>
    <row r="749" spans="1:4" x14ac:dyDescent="0.35">
      <c r="A749" t="s">
        <v>919</v>
      </c>
      <c r="B749">
        <v>27415</v>
      </c>
      <c r="C749">
        <v>24000</v>
      </c>
      <c r="D749">
        <v>0</v>
      </c>
    </row>
    <row r="750" spans="1:4" x14ac:dyDescent="0.35">
      <c r="A750" t="s">
        <v>920</v>
      </c>
      <c r="B750">
        <v>10885</v>
      </c>
      <c r="C750">
        <v>5600</v>
      </c>
      <c r="D750">
        <v>0</v>
      </c>
    </row>
    <row r="751" spans="1:4" x14ac:dyDescent="0.35">
      <c r="A751" t="s">
        <v>921</v>
      </c>
      <c r="B751">
        <v>6937</v>
      </c>
      <c r="C751">
        <v>4694</v>
      </c>
      <c r="D751">
        <v>0</v>
      </c>
    </row>
    <row r="752" spans="1:4" x14ac:dyDescent="0.35">
      <c r="A752" t="s">
        <v>922</v>
      </c>
      <c r="B752">
        <v>15000</v>
      </c>
      <c r="C752">
        <v>6065</v>
      </c>
      <c r="D752">
        <v>0</v>
      </c>
    </row>
    <row r="753" spans="1:4" x14ac:dyDescent="0.35">
      <c r="A753" t="s">
        <v>923</v>
      </c>
      <c r="B753">
        <v>7109</v>
      </c>
      <c r="C753">
        <v>6000</v>
      </c>
      <c r="D753">
        <v>0</v>
      </c>
    </row>
    <row r="754" spans="1:4" x14ac:dyDescent="0.35">
      <c r="A754" t="s">
        <v>924</v>
      </c>
      <c r="B754">
        <v>5</v>
      </c>
      <c r="C754">
        <v>4</v>
      </c>
      <c r="D754">
        <v>69418</v>
      </c>
    </row>
    <row r="755" spans="1:4" x14ac:dyDescent="0.35">
      <c r="A755" t="s">
        <v>925</v>
      </c>
      <c r="B755">
        <v>1610</v>
      </c>
      <c r="C755">
        <v>1606</v>
      </c>
      <c r="D755">
        <v>79</v>
      </c>
    </row>
    <row r="756" spans="1:4" x14ac:dyDescent="0.35">
      <c r="A756" t="s">
        <v>926</v>
      </c>
      <c r="B756">
        <v>1</v>
      </c>
      <c r="C756">
        <v>2</v>
      </c>
      <c r="D756">
        <v>4</v>
      </c>
    </row>
    <row r="757" spans="1:4" x14ac:dyDescent="0.35">
      <c r="A757" t="s">
        <v>927</v>
      </c>
      <c r="B757">
        <v>55</v>
      </c>
      <c r="C757">
        <v>25</v>
      </c>
      <c r="D757">
        <v>0</v>
      </c>
    </row>
    <row r="758" spans="1:4" x14ac:dyDescent="0.35">
      <c r="A758" t="s">
        <v>928</v>
      </c>
      <c r="B758">
        <v>2987</v>
      </c>
      <c r="C758">
        <v>2622</v>
      </c>
      <c r="D758">
        <v>447</v>
      </c>
    </row>
    <row r="759" spans="1:4" x14ac:dyDescent="0.35">
      <c r="A759" t="s">
        <v>929</v>
      </c>
      <c r="B759">
        <v>437</v>
      </c>
      <c r="C759">
        <v>410</v>
      </c>
      <c r="D759">
        <v>1121</v>
      </c>
    </row>
    <row r="760" spans="1:4" x14ac:dyDescent="0.35">
      <c r="A760" t="s">
        <v>930</v>
      </c>
      <c r="B760">
        <v>2800</v>
      </c>
      <c r="C760">
        <v>2600</v>
      </c>
      <c r="D760">
        <v>75</v>
      </c>
    </row>
    <row r="761" spans="1:4" x14ac:dyDescent="0.35">
      <c r="A761" t="s">
        <v>931</v>
      </c>
      <c r="B761">
        <v>490</v>
      </c>
      <c r="C761">
        <v>460</v>
      </c>
      <c r="D761">
        <v>268</v>
      </c>
    </row>
    <row r="762" spans="1:4" x14ac:dyDescent="0.35">
      <c r="A762" t="s">
        <v>932</v>
      </c>
      <c r="B762">
        <v>110</v>
      </c>
      <c r="C762">
        <v>110</v>
      </c>
      <c r="D762">
        <v>5498</v>
      </c>
    </row>
    <row r="763" spans="1:4" x14ac:dyDescent="0.35">
      <c r="A763" t="s">
        <v>933</v>
      </c>
      <c r="B763">
        <v>7</v>
      </c>
      <c r="C763">
        <v>6</v>
      </c>
      <c r="D763">
        <v>50354</v>
      </c>
    </row>
    <row r="764" spans="1:4" x14ac:dyDescent="0.35">
      <c r="A764" t="s">
        <v>934</v>
      </c>
      <c r="B764">
        <v>1341</v>
      </c>
      <c r="C764">
        <v>1000</v>
      </c>
      <c r="D764">
        <v>0</v>
      </c>
    </row>
    <row r="765" spans="1:4" x14ac:dyDescent="0.35">
      <c r="A765" t="s">
        <v>935</v>
      </c>
      <c r="B765">
        <v>3000</v>
      </c>
      <c r="C765">
        <v>2325</v>
      </c>
      <c r="D765">
        <v>42</v>
      </c>
    </row>
    <row r="766" spans="1:4" x14ac:dyDescent="0.35">
      <c r="A766" t="s">
        <v>936</v>
      </c>
      <c r="B766">
        <v>7000</v>
      </c>
      <c r="C766">
        <v>100</v>
      </c>
      <c r="D766">
        <v>0</v>
      </c>
    </row>
    <row r="767" spans="1:4" x14ac:dyDescent="0.35">
      <c r="A767" t="s">
        <v>937</v>
      </c>
      <c r="B767">
        <v>2811</v>
      </c>
      <c r="C767">
        <v>3500</v>
      </c>
      <c r="D767">
        <v>0</v>
      </c>
    </row>
    <row r="768" spans="1:4" x14ac:dyDescent="0.35">
      <c r="A768" t="s">
        <v>938</v>
      </c>
      <c r="B768">
        <v>3471</v>
      </c>
      <c r="C768">
        <v>4966</v>
      </c>
      <c r="D768">
        <v>1</v>
      </c>
    </row>
    <row r="769" spans="1:4" x14ac:dyDescent="0.35">
      <c r="A769" t="s">
        <v>939</v>
      </c>
      <c r="B769">
        <v>569</v>
      </c>
      <c r="C769">
        <v>553</v>
      </c>
      <c r="D769">
        <v>83</v>
      </c>
    </row>
    <row r="770" spans="1:4" x14ac:dyDescent="0.35">
      <c r="A770" t="s">
        <v>940</v>
      </c>
      <c r="B770">
        <v>250</v>
      </c>
      <c r="C770">
        <v>220</v>
      </c>
      <c r="D770">
        <v>3</v>
      </c>
    </row>
    <row r="771" spans="1:4" x14ac:dyDescent="0.35">
      <c r="A771" t="s">
        <v>941</v>
      </c>
      <c r="B771">
        <v>31</v>
      </c>
      <c r="C771">
        <v>30</v>
      </c>
      <c r="D771">
        <v>4813</v>
      </c>
    </row>
    <row r="772" spans="1:4" x14ac:dyDescent="0.35">
      <c r="A772" t="s">
        <v>942</v>
      </c>
      <c r="B772">
        <v>494</v>
      </c>
      <c r="C772">
        <v>422</v>
      </c>
      <c r="D772">
        <v>0</v>
      </c>
    </row>
    <row r="773" spans="1:4" x14ac:dyDescent="0.35">
      <c r="A773" t="s">
        <v>943</v>
      </c>
      <c r="B773">
        <v>797</v>
      </c>
      <c r="C773">
        <v>765</v>
      </c>
      <c r="D773">
        <v>1694</v>
      </c>
    </row>
    <row r="774" spans="1:4" x14ac:dyDescent="0.35">
      <c r="A774" t="s">
        <v>944</v>
      </c>
      <c r="B774">
        <v>17777</v>
      </c>
      <c r="C774">
        <v>11200</v>
      </c>
      <c r="D774">
        <v>1</v>
      </c>
    </row>
    <row r="775" spans="1:4" x14ac:dyDescent="0.35">
      <c r="A775" t="s">
        <v>945</v>
      </c>
      <c r="B775">
        <v>18458</v>
      </c>
      <c r="C775">
        <v>19056</v>
      </c>
      <c r="D775">
        <v>3</v>
      </c>
    </row>
    <row r="776" spans="1:4" x14ac:dyDescent="0.35">
      <c r="A776" t="s">
        <v>946</v>
      </c>
      <c r="B776">
        <v>28000</v>
      </c>
      <c r="C776">
        <v>23958</v>
      </c>
      <c r="D776">
        <v>14</v>
      </c>
    </row>
    <row r="777" spans="1:4" x14ac:dyDescent="0.35">
      <c r="A777" t="s">
        <v>947</v>
      </c>
      <c r="B777">
        <v>13000</v>
      </c>
      <c r="C777">
        <v>12369</v>
      </c>
      <c r="D777">
        <v>0</v>
      </c>
    </row>
    <row r="778" spans="1:4" x14ac:dyDescent="0.35">
      <c r="A778" t="s">
        <v>948</v>
      </c>
      <c r="B778">
        <v>20000</v>
      </c>
      <c r="C778">
        <v>150</v>
      </c>
      <c r="D778">
        <v>0</v>
      </c>
    </row>
    <row r="779" spans="1:4" x14ac:dyDescent="0.35">
      <c r="A779" t="s">
        <v>949</v>
      </c>
      <c r="B779">
        <v>411802</v>
      </c>
      <c r="C779">
        <v>411802</v>
      </c>
      <c r="D779">
        <v>29</v>
      </c>
    </row>
    <row r="780" spans="1:4" x14ac:dyDescent="0.35">
      <c r="A780" t="s">
        <v>950</v>
      </c>
      <c r="B780">
        <v>5510</v>
      </c>
      <c r="C780">
        <v>4700</v>
      </c>
      <c r="D780">
        <v>0</v>
      </c>
    </row>
    <row r="781" spans="1:4" x14ac:dyDescent="0.35">
      <c r="A781" t="s">
        <v>951</v>
      </c>
      <c r="B781">
        <v>799</v>
      </c>
      <c r="C781">
        <v>579</v>
      </c>
      <c r="D781">
        <v>17</v>
      </c>
    </row>
    <row r="782" spans="1:4" x14ac:dyDescent="0.35">
      <c r="A782" t="s">
        <v>952</v>
      </c>
      <c r="B782">
        <v>942</v>
      </c>
      <c r="C782">
        <v>900</v>
      </c>
      <c r="D782">
        <v>751</v>
      </c>
    </row>
    <row r="783" spans="1:4" x14ac:dyDescent="0.35">
      <c r="A783" t="s">
        <v>953</v>
      </c>
      <c r="B783">
        <v>634</v>
      </c>
      <c r="C783">
        <v>160</v>
      </c>
      <c r="D783">
        <v>102</v>
      </c>
    </row>
    <row r="784" spans="1:4" x14ac:dyDescent="0.35">
      <c r="A784" t="s">
        <v>954</v>
      </c>
      <c r="B784">
        <v>12383</v>
      </c>
      <c r="C784">
        <v>13457</v>
      </c>
      <c r="D784">
        <v>22</v>
      </c>
    </row>
    <row r="785" spans="1:4" x14ac:dyDescent="0.35">
      <c r="A785" t="s">
        <v>955</v>
      </c>
      <c r="B785">
        <v>13411</v>
      </c>
      <c r="C785">
        <v>11000</v>
      </c>
      <c r="D785">
        <v>4</v>
      </c>
    </row>
    <row r="786" spans="1:4" x14ac:dyDescent="0.35">
      <c r="A786" t="s">
        <v>956</v>
      </c>
      <c r="B786">
        <v>35387314</v>
      </c>
      <c r="C786">
        <v>34000000</v>
      </c>
      <c r="D786">
        <v>3</v>
      </c>
    </row>
    <row r="787" spans="1:4" x14ac:dyDescent="0.35">
      <c r="A787" t="s">
        <v>957</v>
      </c>
      <c r="B787">
        <v>758315</v>
      </c>
      <c r="C787">
        <v>740374</v>
      </c>
      <c r="D787">
        <v>18</v>
      </c>
    </row>
    <row r="788" spans="1:4" x14ac:dyDescent="0.35">
      <c r="A788" t="s">
        <v>958</v>
      </c>
      <c r="B788">
        <v>0</v>
      </c>
      <c r="C788">
        <v>0</v>
      </c>
      <c r="D788">
        <v>0</v>
      </c>
    </row>
    <row r="789" spans="1:4" x14ac:dyDescent="0.35">
      <c r="A789" t="s">
        <v>959</v>
      </c>
      <c r="B789">
        <v>4464</v>
      </c>
      <c r="C789">
        <v>4375</v>
      </c>
      <c r="D789">
        <v>122</v>
      </c>
    </row>
    <row r="790" spans="1:4" x14ac:dyDescent="0.35">
      <c r="A790" t="s">
        <v>960</v>
      </c>
      <c r="B790">
        <v>4915</v>
      </c>
      <c r="C790">
        <v>4014</v>
      </c>
      <c r="D790">
        <v>100</v>
      </c>
    </row>
    <row r="791" spans="1:4" x14ac:dyDescent="0.35">
      <c r="A791" t="s">
        <v>961</v>
      </c>
      <c r="B791">
        <v>161795000</v>
      </c>
      <c r="C791">
        <v>161000000</v>
      </c>
      <c r="D791">
        <v>10</v>
      </c>
    </row>
    <row r="792" spans="1:4" x14ac:dyDescent="0.35">
      <c r="A792" t="s">
        <v>962</v>
      </c>
      <c r="B792">
        <v>83</v>
      </c>
      <c r="C792">
        <v>83</v>
      </c>
      <c r="D792">
        <v>106601</v>
      </c>
    </row>
    <row r="793" spans="1:4" x14ac:dyDescent="0.35">
      <c r="A793" t="s">
        <v>963</v>
      </c>
      <c r="B793">
        <v>18</v>
      </c>
      <c r="C793">
        <v>14</v>
      </c>
      <c r="D793">
        <v>2244</v>
      </c>
    </row>
    <row r="794" spans="1:4" x14ac:dyDescent="0.35">
      <c r="A794" t="s">
        <v>964</v>
      </c>
      <c r="B794">
        <v>500</v>
      </c>
      <c r="C794">
        <v>500</v>
      </c>
      <c r="D794">
        <v>14</v>
      </c>
    </row>
    <row r="795" spans="1:4" x14ac:dyDescent="0.35">
      <c r="A795" t="s">
        <v>965</v>
      </c>
      <c r="B795">
        <v>67</v>
      </c>
      <c r="C795">
        <v>65</v>
      </c>
      <c r="D795">
        <v>92</v>
      </c>
    </row>
    <row r="796" spans="1:4" x14ac:dyDescent="0.35">
      <c r="A796" t="s">
        <v>966</v>
      </c>
      <c r="B796">
        <v>9671</v>
      </c>
      <c r="C796">
        <v>14246</v>
      </c>
      <c r="D796">
        <v>0</v>
      </c>
    </row>
    <row r="797" spans="1:4" x14ac:dyDescent="0.35">
      <c r="A797" t="s">
        <v>967</v>
      </c>
      <c r="B797">
        <v>88</v>
      </c>
      <c r="C797">
        <v>63</v>
      </c>
      <c r="D797">
        <v>2244</v>
      </c>
    </row>
    <row r="798" spans="1:4" x14ac:dyDescent="0.35">
      <c r="A798" t="s">
        <v>968</v>
      </c>
      <c r="B798">
        <v>278</v>
      </c>
      <c r="C798">
        <v>250</v>
      </c>
      <c r="D798">
        <v>8</v>
      </c>
    </row>
    <row r="799" spans="1:4" x14ac:dyDescent="0.35">
      <c r="A799" t="s">
        <v>969</v>
      </c>
      <c r="B799">
        <v>598</v>
      </c>
      <c r="C799">
        <v>570</v>
      </c>
      <c r="D799">
        <v>0</v>
      </c>
    </row>
    <row r="800" spans="1:4" x14ac:dyDescent="0.35">
      <c r="A800" t="s">
        <v>970</v>
      </c>
      <c r="B800">
        <v>43845</v>
      </c>
      <c r="C800">
        <v>42718</v>
      </c>
      <c r="D800">
        <v>7288</v>
      </c>
    </row>
    <row r="801" spans="1:4" x14ac:dyDescent="0.35">
      <c r="A801" t="s">
        <v>971</v>
      </c>
      <c r="B801">
        <v>4166</v>
      </c>
      <c r="C801">
        <v>4166</v>
      </c>
      <c r="D801">
        <v>1448</v>
      </c>
    </row>
    <row r="802" spans="1:4" x14ac:dyDescent="0.35">
      <c r="A802" t="s">
        <v>972</v>
      </c>
      <c r="B802">
        <v>128</v>
      </c>
      <c r="C802">
        <v>55</v>
      </c>
      <c r="D802">
        <v>0</v>
      </c>
    </row>
    <row r="803" spans="1:4" x14ac:dyDescent="0.35">
      <c r="A803" t="s">
        <v>973</v>
      </c>
      <c r="B803">
        <v>469</v>
      </c>
      <c r="C803">
        <v>469</v>
      </c>
      <c r="D803">
        <v>30</v>
      </c>
    </row>
    <row r="804" spans="1:4" x14ac:dyDescent="0.35">
      <c r="A804" t="s">
        <v>974</v>
      </c>
      <c r="B804">
        <v>121</v>
      </c>
      <c r="C804">
        <v>101</v>
      </c>
      <c r="D804">
        <v>6</v>
      </c>
    </row>
    <row r="805" spans="1:4" x14ac:dyDescent="0.35">
      <c r="A805" t="s">
        <v>975</v>
      </c>
      <c r="B805">
        <v>209</v>
      </c>
      <c r="C805">
        <v>201</v>
      </c>
      <c r="D805">
        <v>666</v>
      </c>
    </row>
    <row r="806" spans="1:4" x14ac:dyDescent="0.35">
      <c r="A806" t="s">
        <v>976</v>
      </c>
      <c r="B806">
        <v>160</v>
      </c>
      <c r="C806">
        <v>73</v>
      </c>
      <c r="D806">
        <v>4</v>
      </c>
    </row>
    <row r="807" spans="1:4" x14ac:dyDescent="0.35">
      <c r="A807" t="s">
        <v>977</v>
      </c>
      <c r="B807">
        <v>241712</v>
      </c>
      <c r="C807">
        <v>193816</v>
      </c>
      <c r="D807">
        <v>5</v>
      </c>
    </row>
    <row r="808" spans="1:4" x14ac:dyDescent="0.35">
      <c r="A808" t="s">
        <v>978</v>
      </c>
      <c r="B808">
        <v>3576815</v>
      </c>
      <c r="C808">
        <v>3483221</v>
      </c>
      <c r="D808">
        <v>34</v>
      </c>
    </row>
    <row r="809" spans="1:4" x14ac:dyDescent="0.35">
      <c r="A809" t="s">
        <v>979</v>
      </c>
      <c r="B809">
        <v>286641</v>
      </c>
      <c r="C809">
        <v>285214</v>
      </c>
      <c r="D809">
        <v>16</v>
      </c>
    </row>
    <row r="810" spans="1:4" x14ac:dyDescent="0.35">
      <c r="A810" t="s">
        <v>980</v>
      </c>
      <c r="B810">
        <v>47</v>
      </c>
      <c r="C810">
        <v>44</v>
      </c>
      <c r="D810">
        <v>2000</v>
      </c>
    </row>
    <row r="811" spans="1:4" x14ac:dyDescent="0.35">
      <c r="A811" t="s">
        <v>981</v>
      </c>
      <c r="B811">
        <v>61</v>
      </c>
      <c r="C811">
        <v>60</v>
      </c>
      <c r="D811">
        <v>49955</v>
      </c>
    </row>
    <row r="812" spans="1:4" x14ac:dyDescent="0.35">
      <c r="A812" t="s">
        <v>982</v>
      </c>
      <c r="B812">
        <v>9823</v>
      </c>
      <c r="C812">
        <v>9250</v>
      </c>
      <c r="D812">
        <v>22</v>
      </c>
    </row>
    <row r="813" spans="1:4" x14ac:dyDescent="0.35">
      <c r="A813" t="s">
        <v>983</v>
      </c>
      <c r="B813">
        <v>17617</v>
      </c>
      <c r="C813">
        <v>80</v>
      </c>
      <c r="D813">
        <v>0</v>
      </c>
    </row>
    <row r="814" spans="1:4" x14ac:dyDescent="0.35">
      <c r="A814" t="s">
        <v>984</v>
      </c>
      <c r="B814">
        <v>56802</v>
      </c>
      <c r="C814">
        <v>41000</v>
      </c>
      <c r="D814">
        <v>8</v>
      </c>
    </row>
    <row r="815" spans="1:4" x14ac:dyDescent="0.35">
      <c r="A815" t="s">
        <v>985</v>
      </c>
      <c r="B815">
        <v>34000000</v>
      </c>
      <c r="C815">
        <v>35000000</v>
      </c>
      <c r="D815">
        <v>4</v>
      </c>
    </row>
    <row r="816" spans="1:4" x14ac:dyDescent="0.35">
      <c r="A816" t="s">
        <v>986</v>
      </c>
      <c r="B816">
        <v>984256</v>
      </c>
      <c r="C816">
        <v>935000</v>
      </c>
      <c r="D816">
        <v>1</v>
      </c>
    </row>
    <row r="817" spans="1:4" x14ac:dyDescent="0.35">
      <c r="A817" t="s">
        <v>987</v>
      </c>
      <c r="B817">
        <v>269135</v>
      </c>
      <c r="C817">
        <v>259010</v>
      </c>
      <c r="D817">
        <v>1</v>
      </c>
    </row>
    <row r="818" spans="1:4" x14ac:dyDescent="0.35">
      <c r="A818" t="s">
        <v>988</v>
      </c>
      <c r="B818">
        <v>99</v>
      </c>
      <c r="C818">
        <v>77</v>
      </c>
      <c r="D818">
        <v>0</v>
      </c>
    </row>
    <row r="819" spans="1:4" x14ac:dyDescent="0.35">
      <c r="A819" t="s">
        <v>989</v>
      </c>
      <c r="B819">
        <v>4</v>
      </c>
      <c r="C819">
        <v>4</v>
      </c>
      <c r="D819">
        <v>24364</v>
      </c>
    </row>
    <row r="820" spans="1:4" x14ac:dyDescent="0.35">
      <c r="A820" t="s">
        <v>990</v>
      </c>
      <c r="B820">
        <v>71</v>
      </c>
      <c r="C820">
        <v>80</v>
      </c>
      <c r="D820">
        <v>0</v>
      </c>
    </row>
    <row r="821" spans="1:4" x14ac:dyDescent="0.35">
      <c r="A821" t="s">
        <v>991</v>
      </c>
      <c r="B821">
        <v>20</v>
      </c>
      <c r="C821">
        <v>127</v>
      </c>
      <c r="D821">
        <v>0</v>
      </c>
    </row>
    <row r="822" spans="1:4" x14ac:dyDescent="0.35">
      <c r="A822" t="s">
        <v>992</v>
      </c>
      <c r="B822">
        <v>8999</v>
      </c>
      <c r="C822">
        <v>200</v>
      </c>
      <c r="D822">
        <v>0</v>
      </c>
    </row>
    <row r="823" spans="1:4" x14ac:dyDescent="0.35">
      <c r="A823" t="s">
        <v>993</v>
      </c>
      <c r="B823">
        <v>30</v>
      </c>
      <c r="C823">
        <v>20</v>
      </c>
      <c r="D823">
        <v>15465</v>
      </c>
    </row>
    <row r="824" spans="1:4" x14ac:dyDescent="0.35">
      <c r="A824" t="s">
        <v>994</v>
      </c>
      <c r="B824">
        <v>25</v>
      </c>
      <c r="C824">
        <v>28</v>
      </c>
      <c r="D824">
        <v>564</v>
      </c>
    </row>
    <row r="825" spans="1:4" x14ac:dyDescent="0.35">
      <c r="A825" t="s">
        <v>995</v>
      </c>
      <c r="B825">
        <v>70</v>
      </c>
      <c r="C825">
        <v>67</v>
      </c>
      <c r="D825">
        <v>23170</v>
      </c>
    </row>
    <row r="826" spans="1:4" x14ac:dyDescent="0.35">
      <c r="A826" t="s">
        <v>996</v>
      </c>
      <c r="B826">
        <v>13</v>
      </c>
      <c r="C826">
        <v>9</v>
      </c>
      <c r="D826">
        <v>0</v>
      </c>
    </row>
    <row r="827" spans="1:4" x14ac:dyDescent="0.35">
      <c r="A827" t="s">
        <v>997</v>
      </c>
      <c r="B827">
        <v>2</v>
      </c>
      <c r="C827">
        <v>3</v>
      </c>
      <c r="D827">
        <v>1626</v>
      </c>
    </row>
    <row r="828" spans="1:4" x14ac:dyDescent="0.35">
      <c r="A828" t="s">
        <v>998</v>
      </c>
      <c r="B828">
        <v>4000</v>
      </c>
      <c r="C828">
        <v>121</v>
      </c>
      <c r="D828">
        <v>0</v>
      </c>
    </row>
    <row r="829" spans="1:4" x14ac:dyDescent="0.35">
      <c r="A829" t="s">
        <v>999</v>
      </c>
      <c r="B829">
        <v>4000</v>
      </c>
      <c r="C829">
        <v>170</v>
      </c>
      <c r="D829">
        <v>0</v>
      </c>
    </row>
    <row r="830" spans="1:4" x14ac:dyDescent="0.35">
      <c r="A830" t="s">
        <v>1000</v>
      </c>
      <c r="B830">
        <v>577</v>
      </c>
      <c r="C830">
        <v>100</v>
      </c>
      <c r="D830">
        <v>0</v>
      </c>
    </row>
    <row r="831" spans="1:4" x14ac:dyDescent="0.35">
      <c r="A831" t="s">
        <v>1001</v>
      </c>
      <c r="B831">
        <v>14</v>
      </c>
      <c r="C831">
        <v>14</v>
      </c>
      <c r="D831">
        <v>0</v>
      </c>
    </row>
    <row r="832" spans="1:4" x14ac:dyDescent="0.35">
      <c r="A832" t="s">
        <v>1002</v>
      </c>
      <c r="B832">
        <v>837</v>
      </c>
      <c r="C832">
        <v>170</v>
      </c>
      <c r="D832">
        <v>2</v>
      </c>
    </row>
    <row r="833" spans="1:4" x14ac:dyDescent="0.35">
      <c r="A833" t="s">
        <v>1003</v>
      </c>
      <c r="B833">
        <v>2450</v>
      </c>
      <c r="C833">
        <v>189</v>
      </c>
      <c r="D833">
        <v>0</v>
      </c>
    </row>
    <row r="834" spans="1:4" x14ac:dyDescent="0.35">
      <c r="A834" t="s">
        <v>1004</v>
      </c>
      <c r="B834">
        <v>7</v>
      </c>
      <c r="C834">
        <v>7</v>
      </c>
      <c r="D834">
        <v>8790</v>
      </c>
    </row>
    <row r="835" spans="1:4" x14ac:dyDescent="0.35">
      <c r="A835" t="s">
        <v>1005</v>
      </c>
      <c r="B835">
        <v>16</v>
      </c>
      <c r="C835">
        <v>13</v>
      </c>
      <c r="D835">
        <v>88</v>
      </c>
    </row>
    <row r="836" spans="1:4" x14ac:dyDescent="0.35">
      <c r="A836" t="s">
        <v>1006</v>
      </c>
      <c r="B836">
        <v>10000</v>
      </c>
      <c r="C836">
        <v>301</v>
      </c>
      <c r="D836">
        <v>0</v>
      </c>
    </row>
    <row r="837" spans="1:4" x14ac:dyDescent="0.35">
      <c r="A837" t="s">
        <v>1007</v>
      </c>
      <c r="B837">
        <v>571</v>
      </c>
      <c r="C837">
        <v>551</v>
      </c>
      <c r="D837">
        <v>36</v>
      </c>
    </row>
    <row r="838" spans="1:4" x14ac:dyDescent="0.35">
      <c r="A838" t="s">
        <v>1008</v>
      </c>
      <c r="B838">
        <v>73</v>
      </c>
      <c r="C838">
        <v>100</v>
      </c>
      <c r="D838">
        <v>0</v>
      </c>
    </row>
    <row r="839" spans="1:4" x14ac:dyDescent="0.35">
      <c r="A839" t="s">
        <v>1009</v>
      </c>
      <c r="B839">
        <v>6</v>
      </c>
      <c r="C839">
        <v>6</v>
      </c>
      <c r="D839">
        <v>12</v>
      </c>
    </row>
    <row r="840" spans="1:4" x14ac:dyDescent="0.35">
      <c r="A840" t="s">
        <v>1010</v>
      </c>
      <c r="B840">
        <v>232</v>
      </c>
      <c r="C840">
        <v>230</v>
      </c>
      <c r="D840">
        <v>0</v>
      </c>
    </row>
    <row r="841" spans="1:4" x14ac:dyDescent="0.35">
      <c r="A841" t="s">
        <v>1011</v>
      </c>
      <c r="B841">
        <v>650</v>
      </c>
      <c r="C841">
        <v>1</v>
      </c>
      <c r="D841">
        <v>0</v>
      </c>
    </row>
    <row r="842" spans="1:4" x14ac:dyDescent="0.35">
      <c r="A842" t="s">
        <v>1012</v>
      </c>
      <c r="B842">
        <v>1409</v>
      </c>
      <c r="C842">
        <v>20000</v>
      </c>
      <c r="D842">
        <v>0</v>
      </c>
    </row>
    <row r="843" spans="1:4" x14ac:dyDescent="0.35">
      <c r="A843" t="s">
        <v>1013</v>
      </c>
      <c r="B843">
        <v>15</v>
      </c>
      <c r="C843">
        <v>24</v>
      </c>
      <c r="D843">
        <v>3587</v>
      </c>
    </row>
    <row r="844" spans="1:4" x14ac:dyDescent="0.35">
      <c r="A844" t="s">
        <v>1014</v>
      </c>
      <c r="B844">
        <v>29</v>
      </c>
      <c r="C844">
        <v>24</v>
      </c>
      <c r="D844">
        <v>641</v>
      </c>
    </row>
    <row r="845" spans="1:4" x14ac:dyDescent="0.35">
      <c r="A845" t="s">
        <v>1015</v>
      </c>
      <c r="B845">
        <v>7000</v>
      </c>
      <c r="C845">
        <v>8000</v>
      </c>
      <c r="D845">
        <v>0</v>
      </c>
    </row>
    <row r="846" spans="1:4" x14ac:dyDescent="0.35">
      <c r="A846" t="s">
        <v>1016</v>
      </c>
      <c r="B846">
        <v>50000</v>
      </c>
      <c r="C846">
        <v>139</v>
      </c>
      <c r="D846">
        <v>0</v>
      </c>
    </row>
    <row r="847" spans="1:4" x14ac:dyDescent="0.35">
      <c r="A847" t="s">
        <v>1017</v>
      </c>
      <c r="B847">
        <v>58</v>
      </c>
      <c r="C847">
        <v>300</v>
      </c>
      <c r="D847">
        <v>0</v>
      </c>
    </row>
    <row r="848" spans="1:4" x14ac:dyDescent="0.35">
      <c r="A848" t="s">
        <v>1018</v>
      </c>
      <c r="B848">
        <v>6263</v>
      </c>
      <c r="C848">
        <v>6497</v>
      </c>
      <c r="D848">
        <v>0</v>
      </c>
    </row>
    <row r="849" spans="1:4" x14ac:dyDescent="0.35">
      <c r="A849" t="s">
        <v>1019</v>
      </c>
      <c r="B849">
        <v>1000000</v>
      </c>
      <c r="C849">
        <v>500000</v>
      </c>
      <c r="D849">
        <v>0</v>
      </c>
    </row>
    <row r="850" spans="1:4" x14ac:dyDescent="0.35">
      <c r="A850" t="s">
        <v>1020</v>
      </c>
      <c r="B850">
        <v>70</v>
      </c>
      <c r="C850">
        <v>56</v>
      </c>
      <c r="D850">
        <v>15</v>
      </c>
    </row>
    <row r="851" spans="1:4" x14ac:dyDescent="0.35">
      <c r="A851" t="s">
        <v>1021</v>
      </c>
      <c r="B851">
        <v>41779</v>
      </c>
      <c r="C851">
        <v>42804</v>
      </c>
      <c r="D851">
        <v>0</v>
      </c>
    </row>
    <row r="852" spans="1:4" x14ac:dyDescent="0.35">
      <c r="A852" t="s">
        <v>1022</v>
      </c>
      <c r="B852">
        <v>2286</v>
      </c>
      <c r="C852">
        <v>1000</v>
      </c>
      <c r="D852">
        <v>1</v>
      </c>
    </row>
    <row r="853" spans="1:4" x14ac:dyDescent="0.35">
      <c r="A853" t="s">
        <v>1023</v>
      </c>
      <c r="B853">
        <v>147504</v>
      </c>
      <c r="C853">
        <v>134852</v>
      </c>
      <c r="D853">
        <v>1</v>
      </c>
    </row>
    <row r="854" spans="1:4" x14ac:dyDescent="0.35">
      <c r="A854" t="s">
        <v>1024</v>
      </c>
      <c r="B854">
        <v>197762</v>
      </c>
      <c r="C854">
        <v>99000</v>
      </c>
      <c r="D854">
        <v>0</v>
      </c>
    </row>
    <row r="855" spans="1:4" x14ac:dyDescent="0.35">
      <c r="A855" t="s">
        <v>1025</v>
      </c>
      <c r="B855">
        <v>40000</v>
      </c>
      <c r="C855">
        <v>350</v>
      </c>
      <c r="D855">
        <v>0</v>
      </c>
    </row>
    <row r="856" spans="1:4" x14ac:dyDescent="0.35">
      <c r="A856" t="s">
        <v>1026</v>
      </c>
      <c r="B856">
        <v>25</v>
      </c>
      <c r="C856">
        <v>25</v>
      </c>
      <c r="D856">
        <v>1</v>
      </c>
    </row>
    <row r="857" spans="1:4" x14ac:dyDescent="0.35">
      <c r="A857" t="s">
        <v>1027</v>
      </c>
      <c r="B857">
        <v>1</v>
      </c>
      <c r="C857">
        <v>4030</v>
      </c>
      <c r="D857">
        <v>0</v>
      </c>
    </row>
    <row r="858" spans="1:4" x14ac:dyDescent="0.35">
      <c r="A858" t="s">
        <v>1028</v>
      </c>
      <c r="B858">
        <v>4765</v>
      </c>
      <c r="C858">
        <v>99500</v>
      </c>
      <c r="D858">
        <v>0</v>
      </c>
    </row>
    <row r="859" spans="1:4" x14ac:dyDescent="0.35">
      <c r="A859" t="s">
        <v>1029</v>
      </c>
      <c r="B859">
        <v>1125</v>
      </c>
      <c r="C859">
        <v>2500</v>
      </c>
      <c r="D859">
        <v>0</v>
      </c>
    </row>
    <row r="860" spans="1:4" x14ac:dyDescent="0.35">
      <c r="A860" t="s">
        <v>1030</v>
      </c>
      <c r="B860">
        <v>10</v>
      </c>
      <c r="C860">
        <v>10</v>
      </c>
      <c r="D860">
        <v>399</v>
      </c>
    </row>
    <row r="861" spans="1:4" x14ac:dyDescent="0.35">
      <c r="A861" t="s">
        <v>1031</v>
      </c>
      <c r="B861">
        <v>10</v>
      </c>
      <c r="C861">
        <v>3</v>
      </c>
      <c r="D861">
        <v>0</v>
      </c>
    </row>
    <row r="862" spans="1:4" x14ac:dyDescent="0.35">
      <c r="A862" t="s">
        <v>1032</v>
      </c>
      <c r="B862">
        <v>11</v>
      </c>
      <c r="C862">
        <v>5</v>
      </c>
      <c r="D862">
        <v>0</v>
      </c>
    </row>
    <row r="863" spans="1:4" x14ac:dyDescent="0.35">
      <c r="A863" t="s">
        <v>1033</v>
      </c>
      <c r="B863">
        <v>1</v>
      </c>
      <c r="C863">
        <v>10000</v>
      </c>
      <c r="D863">
        <v>0</v>
      </c>
    </row>
    <row r="864" spans="1:4" x14ac:dyDescent="0.35">
      <c r="A864" t="s">
        <v>1034</v>
      </c>
      <c r="B864">
        <v>15</v>
      </c>
      <c r="C864">
        <v>15</v>
      </c>
      <c r="D864">
        <v>0</v>
      </c>
    </row>
    <row r="865" spans="1:4" x14ac:dyDescent="0.35">
      <c r="A865" t="s">
        <v>1035</v>
      </c>
      <c r="B865">
        <v>600</v>
      </c>
      <c r="C865">
        <v>569</v>
      </c>
      <c r="D865">
        <v>0</v>
      </c>
    </row>
    <row r="866" spans="1:4" x14ac:dyDescent="0.35">
      <c r="A866" t="s">
        <v>1036</v>
      </c>
      <c r="B866">
        <v>95</v>
      </c>
      <c r="C866">
        <v>35</v>
      </c>
      <c r="D866">
        <v>25</v>
      </c>
    </row>
    <row r="867" spans="1:4" x14ac:dyDescent="0.35">
      <c r="A867" t="s">
        <v>1037</v>
      </c>
      <c r="B867">
        <v>59834</v>
      </c>
      <c r="C867">
        <v>15055</v>
      </c>
      <c r="D867">
        <v>0</v>
      </c>
    </row>
    <row r="868" spans="1:4" x14ac:dyDescent="0.35">
      <c r="A868" t="s">
        <v>1038</v>
      </c>
      <c r="B868">
        <v>8000</v>
      </c>
      <c r="C868">
        <v>1838</v>
      </c>
      <c r="D868">
        <v>0</v>
      </c>
    </row>
    <row r="869" spans="1:4" x14ac:dyDescent="0.35">
      <c r="A869" t="s">
        <v>1039</v>
      </c>
      <c r="B869">
        <v>10</v>
      </c>
      <c r="C869">
        <v>16</v>
      </c>
      <c r="D869">
        <v>11339</v>
      </c>
    </row>
    <row r="870" spans="1:4" x14ac:dyDescent="0.35">
      <c r="A870" t="s">
        <v>1040</v>
      </c>
      <c r="B870">
        <v>4900</v>
      </c>
      <c r="C870">
        <v>4900</v>
      </c>
      <c r="D870">
        <v>0</v>
      </c>
    </row>
    <row r="871" spans="1:4" x14ac:dyDescent="0.35">
      <c r="A871" t="s">
        <v>1041</v>
      </c>
      <c r="B871">
        <v>54</v>
      </c>
      <c r="C871">
        <v>54</v>
      </c>
      <c r="D871">
        <v>0</v>
      </c>
    </row>
    <row r="872" spans="1:4" x14ac:dyDescent="0.35">
      <c r="A872" t="s">
        <v>1042</v>
      </c>
      <c r="B872">
        <v>100</v>
      </c>
      <c r="C872">
        <v>228</v>
      </c>
      <c r="D872">
        <v>0</v>
      </c>
    </row>
    <row r="873" spans="1:4" x14ac:dyDescent="0.35">
      <c r="A873" t="s">
        <v>1043</v>
      </c>
      <c r="B873">
        <v>38</v>
      </c>
      <c r="C873">
        <v>38</v>
      </c>
      <c r="D873">
        <v>5</v>
      </c>
    </row>
    <row r="874" spans="1:4" x14ac:dyDescent="0.35">
      <c r="A874" t="s">
        <v>1044</v>
      </c>
      <c r="B874">
        <v>250</v>
      </c>
      <c r="C874">
        <v>20</v>
      </c>
      <c r="D874">
        <v>0</v>
      </c>
    </row>
    <row r="875" spans="1:4" x14ac:dyDescent="0.35">
      <c r="A875" t="s">
        <v>1045</v>
      </c>
      <c r="B875">
        <v>11</v>
      </c>
      <c r="C875">
        <v>10</v>
      </c>
      <c r="D875">
        <v>76</v>
      </c>
    </row>
    <row r="876" spans="1:4" x14ac:dyDescent="0.35">
      <c r="A876" t="s">
        <v>1046</v>
      </c>
      <c r="B876">
        <v>18</v>
      </c>
      <c r="C876">
        <v>5</v>
      </c>
      <c r="D876">
        <v>1</v>
      </c>
    </row>
    <row r="877" spans="1:4" x14ac:dyDescent="0.35">
      <c r="A877" t="s">
        <v>1047</v>
      </c>
      <c r="B877">
        <v>10</v>
      </c>
      <c r="C877">
        <v>12</v>
      </c>
      <c r="D877">
        <v>30</v>
      </c>
    </row>
    <row r="878" spans="1:4" x14ac:dyDescent="0.35">
      <c r="A878" t="s">
        <v>1048</v>
      </c>
      <c r="B878">
        <v>4</v>
      </c>
      <c r="C878">
        <v>3</v>
      </c>
      <c r="D878">
        <v>14943</v>
      </c>
    </row>
    <row r="879" spans="1:4" x14ac:dyDescent="0.35">
      <c r="A879" t="s">
        <v>1049</v>
      </c>
      <c r="B879">
        <v>81</v>
      </c>
      <c r="C879">
        <v>81</v>
      </c>
      <c r="D879">
        <v>35</v>
      </c>
    </row>
    <row r="880" spans="1:4" x14ac:dyDescent="0.35">
      <c r="A880" t="s">
        <v>1050</v>
      </c>
      <c r="B880">
        <v>36</v>
      </c>
      <c r="C880">
        <v>35</v>
      </c>
      <c r="D880">
        <v>132</v>
      </c>
    </row>
    <row r="881" spans="1:4" x14ac:dyDescent="0.35">
      <c r="A881" t="s">
        <v>1051</v>
      </c>
      <c r="B881">
        <v>57000</v>
      </c>
      <c r="C881">
        <v>44328</v>
      </c>
      <c r="D881">
        <v>3</v>
      </c>
    </row>
    <row r="882" spans="1:4" x14ac:dyDescent="0.35">
      <c r="A882" t="s">
        <v>1052</v>
      </c>
      <c r="B882">
        <v>250</v>
      </c>
      <c r="C882">
        <v>200</v>
      </c>
      <c r="D882">
        <v>0</v>
      </c>
    </row>
    <row r="883" spans="1:4" x14ac:dyDescent="0.35">
      <c r="A883" t="s">
        <v>1053</v>
      </c>
      <c r="B883">
        <v>245</v>
      </c>
      <c r="C883">
        <v>59</v>
      </c>
      <c r="D883">
        <v>84</v>
      </c>
    </row>
    <row r="884" spans="1:4" x14ac:dyDescent="0.35">
      <c r="A884" t="s">
        <v>1054</v>
      </c>
      <c r="B884">
        <v>11227</v>
      </c>
      <c r="C884">
        <v>8000</v>
      </c>
      <c r="D884">
        <v>2</v>
      </c>
    </row>
    <row r="885" spans="1:4" x14ac:dyDescent="0.35">
      <c r="A885" t="s">
        <v>1055</v>
      </c>
      <c r="B885">
        <v>1271</v>
      </c>
      <c r="C885">
        <v>1470</v>
      </c>
      <c r="D885">
        <v>0</v>
      </c>
    </row>
    <row r="886" spans="1:4" x14ac:dyDescent="0.35">
      <c r="A886" t="s">
        <v>1056</v>
      </c>
      <c r="B886">
        <v>52</v>
      </c>
      <c r="C886">
        <v>57</v>
      </c>
      <c r="D886">
        <v>0</v>
      </c>
    </row>
    <row r="887" spans="1:4" x14ac:dyDescent="0.35">
      <c r="A887" t="s">
        <v>1057</v>
      </c>
      <c r="B887">
        <v>2973</v>
      </c>
      <c r="C887">
        <v>3500</v>
      </c>
      <c r="D887">
        <v>1</v>
      </c>
    </row>
    <row r="888" spans="1:4" x14ac:dyDescent="0.35">
      <c r="A888" t="s">
        <v>1058</v>
      </c>
      <c r="B888">
        <v>200</v>
      </c>
      <c r="C888">
        <v>999</v>
      </c>
      <c r="D888">
        <v>0</v>
      </c>
    </row>
    <row r="889" spans="1:4" x14ac:dyDescent="0.35">
      <c r="A889" t="s">
        <v>1059</v>
      </c>
      <c r="B889">
        <v>600</v>
      </c>
      <c r="C889">
        <v>90</v>
      </c>
      <c r="D889">
        <v>6</v>
      </c>
    </row>
    <row r="890" spans="1:4" x14ac:dyDescent="0.35">
      <c r="A890" t="s">
        <v>1060</v>
      </c>
      <c r="B890">
        <v>625</v>
      </c>
      <c r="C890">
        <v>405</v>
      </c>
      <c r="D890">
        <v>1</v>
      </c>
    </row>
    <row r="891" spans="1:4" x14ac:dyDescent="0.35">
      <c r="A891" t="s">
        <v>1061</v>
      </c>
      <c r="B891">
        <v>511</v>
      </c>
      <c r="C891">
        <v>474</v>
      </c>
      <c r="D891">
        <v>0</v>
      </c>
    </row>
    <row r="892" spans="1:4" x14ac:dyDescent="0.35">
      <c r="A892" t="s">
        <v>1062</v>
      </c>
      <c r="B892">
        <v>321</v>
      </c>
      <c r="C892">
        <v>201</v>
      </c>
      <c r="D892">
        <v>37</v>
      </c>
    </row>
    <row r="893" spans="1:4" x14ac:dyDescent="0.35">
      <c r="A893" t="s">
        <v>1063</v>
      </c>
      <c r="B893">
        <v>81</v>
      </c>
      <c r="C893">
        <v>1246</v>
      </c>
      <c r="D893">
        <v>0</v>
      </c>
    </row>
    <row r="894" spans="1:4" x14ac:dyDescent="0.35">
      <c r="A894" t="s">
        <v>1064</v>
      </c>
      <c r="B894">
        <v>278</v>
      </c>
      <c r="C894">
        <v>1300</v>
      </c>
      <c r="D894">
        <v>0</v>
      </c>
    </row>
    <row r="895" spans="1:4" x14ac:dyDescent="0.35">
      <c r="A895" t="s">
        <v>1065</v>
      </c>
      <c r="B895">
        <v>75</v>
      </c>
      <c r="C895">
        <v>75</v>
      </c>
      <c r="D895">
        <v>0</v>
      </c>
    </row>
    <row r="896" spans="1:4" x14ac:dyDescent="0.35">
      <c r="A896" t="s">
        <v>1066</v>
      </c>
      <c r="B896">
        <v>11</v>
      </c>
      <c r="C896">
        <v>10</v>
      </c>
      <c r="D896">
        <v>6</v>
      </c>
    </row>
    <row r="897" spans="1:4" x14ac:dyDescent="0.35">
      <c r="A897" t="s">
        <v>1067</v>
      </c>
      <c r="B897">
        <v>15</v>
      </c>
      <c r="C897">
        <v>50</v>
      </c>
      <c r="D897">
        <v>25</v>
      </c>
    </row>
    <row r="898" spans="1:4" x14ac:dyDescent="0.35">
      <c r="A898" t="s">
        <v>1068</v>
      </c>
      <c r="B898">
        <v>100</v>
      </c>
      <c r="C898">
        <v>4</v>
      </c>
      <c r="D898">
        <v>0</v>
      </c>
    </row>
    <row r="899" spans="1:4" x14ac:dyDescent="0.35">
      <c r="A899" t="s">
        <v>1069</v>
      </c>
      <c r="B899">
        <v>36633</v>
      </c>
      <c r="C899">
        <v>42726</v>
      </c>
      <c r="D899">
        <v>0</v>
      </c>
    </row>
    <row r="900" spans="1:4" x14ac:dyDescent="0.35">
      <c r="A900" t="s">
        <v>1070</v>
      </c>
      <c r="B900">
        <v>48681</v>
      </c>
      <c r="C900">
        <v>44006</v>
      </c>
      <c r="D900">
        <v>0</v>
      </c>
    </row>
    <row r="901" spans="1:4" x14ac:dyDescent="0.35">
      <c r="A901" t="s">
        <v>1071</v>
      </c>
      <c r="B901">
        <v>22</v>
      </c>
      <c r="C901">
        <v>85</v>
      </c>
      <c r="D901">
        <v>18</v>
      </c>
    </row>
    <row r="902" spans="1:4" x14ac:dyDescent="0.35">
      <c r="A902" t="s">
        <v>1072</v>
      </c>
      <c r="B902">
        <v>200</v>
      </c>
      <c r="C902">
        <v>75</v>
      </c>
      <c r="D902">
        <v>54</v>
      </c>
    </row>
    <row r="903" spans="1:4" x14ac:dyDescent="0.35">
      <c r="A903" t="s">
        <v>1073</v>
      </c>
      <c r="B903">
        <v>2078</v>
      </c>
      <c r="C903">
        <v>1550</v>
      </c>
      <c r="D903">
        <v>2</v>
      </c>
    </row>
    <row r="904" spans="1:4" x14ac:dyDescent="0.35">
      <c r="A904" t="s">
        <v>1074</v>
      </c>
      <c r="B904">
        <v>2364</v>
      </c>
      <c r="C904">
        <v>2417</v>
      </c>
      <c r="D904">
        <v>0</v>
      </c>
    </row>
    <row r="905" spans="1:4" x14ac:dyDescent="0.35">
      <c r="A905" t="s">
        <v>1075</v>
      </c>
      <c r="B905">
        <v>3811</v>
      </c>
      <c r="C905">
        <v>3000</v>
      </c>
      <c r="D905">
        <v>0</v>
      </c>
    </row>
    <row r="906" spans="1:4" x14ac:dyDescent="0.35">
      <c r="A906" t="s">
        <v>1076</v>
      </c>
      <c r="B906">
        <v>5217</v>
      </c>
      <c r="C906">
        <v>30</v>
      </c>
      <c r="D906">
        <v>0</v>
      </c>
    </row>
    <row r="907" spans="1:4" x14ac:dyDescent="0.35">
      <c r="A907" t="s">
        <v>1077</v>
      </c>
      <c r="B907">
        <v>5916</v>
      </c>
      <c r="C907">
        <v>24554</v>
      </c>
      <c r="D907">
        <v>0</v>
      </c>
    </row>
    <row r="908" spans="1:4" x14ac:dyDescent="0.35">
      <c r="A908" t="s">
        <v>1078</v>
      </c>
      <c r="B908">
        <v>1959</v>
      </c>
      <c r="C908">
        <v>1000</v>
      </c>
      <c r="D908">
        <v>0</v>
      </c>
    </row>
    <row r="909" spans="1:4" x14ac:dyDescent="0.35">
      <c r="A909" t="s">
        <v>1079</v>
      </c>
      <c r="B909">
        <v>97</v>
      </c>
      <c r="C909">
        <v>96</v>
      </c>
      <c r="D909">
        <v>21</v>
      </c>
    </row>
    <row r="910" spans="1:4" x14ac:dyDescent="0.35">
      <c r="A910" t="s">
        <v>1080</v>
      </c>
      <c r="B910">
        <v>4443</v>
      </c>
      <c r="C910">
        <v>532</v>
      </c>
      <c r="D910">
        <v>0</v>
      </c>
    </row>
    <row r="911" spans="1:4" x14ac:dyDescent="0.35">
      <c r="A911" t="s">
        <v>1081</v>
      </c>
      <c r="B911">
        <v>199</v>
      </c>
      <c r="C911">
        <v>149</v>
      </c>
      <c r="D911">
        <v>0</v>
      </c>
    </row>
    <row r="912" spans="1:4" x14ac:dyDescent="0.35">
      <c r="A912" t="s">
        <v>1082</v>
      </c>
      <c r="B912">
        <v>3445</v>
      </c>
      <c r="C912">
        <v>1300</v>
      </c>
      <c r="D912">
        <v>0</v>
      </c>
    </row>
    <row r="913" spans="1:4" x14ac:dyDescent="0.35">
      <c r="A913" t="s">
        <v>1083</v>
      </c>
      <c r="B913">
        <v>4229875</v>
      </c>
      <c r="C913">
        <v>4245401</v>
      </c>
      <c r="D913">
        <v>1</v>
      </c>
    </row>
    <row r="914" spans="1:4" x14ac:dyDescent="0.35">
      <c r="A914" t="s">
        <v>1084</v>
      </c>
      <c r="B914">
        <v>4307999</v>
      </c>
      <c r="C914">
        <v>4299133</v>
      </c>
      <c r="D914">
        <v>8</v>
      </c>
    </row>
    <row r="915" spans="1:4" x14ac:dyDescent="0.35">
      <c r="A915" t="s">
        <v>1085</v>
      </c>
      <c r="B915">
        <v>8</v>
      </c>
      <c r="C915">
        <v>8</v>
      </c>
      <c r="D915">
        <v>36409</v>
      </c>
    </row>
    <row r="916" spans="1:4" x14ac:dyDescent="0.35">
      <c r="A916" t="s">
        <v>1086</v>
      </c>
      <c r="B916">
        <v>25000</v>
      </c>
      <c r="C916">
        <v>23142</v>
      </c>
      <c r="D916">
        <v>1</v>
      </c>
    </row>
    <row r="917" spans="1:4" x14ac:dyDescent="0.35">
      <c r="A917" t="s">
        <v>1087</v>
      </c>
      <c r="B917">
        <v>3120504</v>
      </c>
      <c r="C917">
        <v>2808000</v>
      </c>
      <c r="D917">
        <v>0</v>
      </c>
    </row>
    <row r="918" spans="1:4" x14ac:dyDescent="0.35">
      <c r="A918" t="s">
        <v>1088</v>
      </c>
      <c r="B918">
        <v>55</v>
      </c>
      <c r="C918">
        <v>55</v>
      </c>
      <c r="D918">
        <v>13172</v>
      </c>
    </row>
    <row r="919" spans="1:4" x14ac:dyDescent="0.35">
      <c r="A919" t="s">
        <v>1089</v>
      </c>
      <c r="B919">
        <v>11</v>
      </c>
      <c r="C919">
        <v>11</v>
      </c>
      <c r="D919">
        <v>112256</v>
      </c>
    </row>
    <row r="920" spans="1:4" x14ac:dyDescent="0.35">
      <c r="A920" t="s">
        <v>1090</v>
      </c>
      <c r="B920">
        <v>551</v>
      </c>
      <c r="C920">
        <v>551</v>
      </c>
      <c r="D920">
        <v>45</v>
      </c>
    </row>
    <row r="921" spans="1:4" x14ac:dyDescent="0.35">
      <c r="A921" t="s">
        <v>1091</v>
      </c>
      <c r="B921">
        <v>48</v>
      </c>
      <c r="C921">
        <v>41</v>
      </c>
      <c r="D921">
        <v>158</v>
      </c>
    </row>
    <row r="922" spans="1:4" x14ac:dyDescent="0.35">
      <c r="A922" t="s">
        <v>1092</v>
      </c>
      <c r="B922">
        <v>750</v>
      </c>
      <c r="C922">
        <v>400</v>
      </c>
      <c r="D922">
        <v>12</v>
      </c>
    </row>
    <row r="923" spans="1:4" x14ac:dyDescent="0.35">
      <c r="A923" t="s">
        <v>1093</v>
      </c>
      <c r="B923">
        <v>1440</v>
      </c>
      <c r="C923">
        <v>1250</v>
      </c>
      <c r="D923">
        <v>27</v>
      </c>
    </row>
    <row r="924" spans="1:4" x14ac:dyDescent="0.35">
      <c r="A924" t="s">
        <v>1094</v>
      </c>
      <c r="B924">
        <v>488</v>
      </c>
      <c r="C924">
        <v>300</v>
      </c>
      <c r="D924">
        <v>0</v>
      </c>
    </row>
    <row r="925" spans="1:4" x14ac:dyDescent="0.35">
      <c r="A925" t="s">
        <v>1095</v>
      </c>
      <c r="B925">
        <v>395</v>
      </c>
      <c r="C925">
        <v>380</v>
      </c>
      <c r="D925">
        <v>8</v>
      </c>
    </row>
    <row r="926" spans="1:4" x14ac:dyDescent="0.35">
      <c r="A926" t="s">
        <v>1096</v>
      </c>
      <c r="B926">
        <v>3760</v>
      </c>
      <c r="C926">
        <v>3747</v>
      </c>
      <c r="D926">
        <v>615</v>
      </c>
    </row>
    <row r="927" spans="1:4" x14ac:dyDescent="0.35">
      <c r="A927" t="s">
        <v>1097</v>
      </c>
      <c r="B927">
        <v>3338345</v>
      </c>
      <c r="C927">
        <v>3338613</v>
      </c>
      <c r="D927">
        <v>7</v>
      </c>
    </row>
    <row r="928" spans="1:4" x14ac:dyDescent="0.35">
      <c r="A928" t="s">
        <v>1098</v>
      </c>
      <c r="B928">
        <v>6867956</v>
      </c>
      <c r="C928">
        <v>6825879</v>
      </c>
      <c r="D928">
        <v>48</v>
      </c>
    </row>
    <row r="929" spans="1:4" x14ac:dyDescent="0.35">
      <c r="A929" t="s">
        <v>1099</v>
      </c>
      <c r="B929">
        <v>5000</v>
      </c>
      <c r="C929">
        <v>388</v>
      </c>
      <c r="D929">
        <v>8</v>
      </c>
    </row>
    <row r="930" spans="1:4" x14ac:dyDescent="0.35">
      <c r="A930" t="s">
        <v>1100</v>
      </c>
      <c r="B930">
        <v>4530</v>
      </c>
      <c r="C930">
        <v>4408</v>
      </c>
      <c r="D930">
        <v>7670</v>
      </c>
    </row>
    <row r="931" spans="1:4" x14ac:dyDescent="0.35">
      <c r="A931" t="s">
        <v>1101</v>
      </c>
      <c r="B931">
        <v>5</v>
      </c>
      <c r="C931">
        <v>4</v>
      </c>
      <c r="D931">
        <v>117</v>
      </c>
    </row>
    <row r="932" spans="1:4" x14ac:dyDescent="0.35">
      <c r="A932" t="s">
        <v>1102</v>
      </c>
      <c r="B932">
        <v>30</v>
      </c>
      <c r="C932">
        <v>14</v>
      </c>
      <c r="D932">
        <v>16</v>
      </c>
    </row>
    <row r="933" spans="1:4" x14ac:dyDescent="0.35">
      <c r="A933" t="s">
        <v>1103</v>
      </c>
      <c r="B933">
        <v>24</v>
      </c>
      <c r="C933">
        <v>22</v>
      </c>
      <c r="D933">
        <v>1324</v>
      </c>
    </row>
    <row r="934" spans="1:4" x14ac:dyDescent="0.35">
      <c r="A934" t="s">
        <v>1104</v>
      </c>
      <c r="B934">
        <v>5665</v>
      </c>
      <c r="C934">
        <v>2792</v>
      </c>
      <c r="D934">
        <v>1</v>
      </c>
    </row>
    <row r="935" spans="1:4" x14ac:dyDescent="0.35">
      <c r="A935" t="s">
        <v>1105</v>
      </c>
      <c r="B935">
        <v>8</v>
      </c>
      <c r="C935">
        <v>4</v>
      </c>
      <c r="D935">
        <v>186</v>
      </c>
    </row>
    <row r="936" spans="1:4" x14ac:dyDescent="0.35">
      <c r="A936" t="s">
        <v>1106</v>
      </c>
      <c r="B936">
        <v>1000</v>
      </c>
      <c r="C936">
        <v>1000</v>
      </c>
      <c r="D936">
        <v>5</v>
      </c>
    </row>
    <row r="937" spans="1:4" x14ac:dyDescent="0.35">
      <c r="A937" t="s">
        <v>1107</v>
      </c>
      <c r="B937">
        <v>103</v>
      </c>
      <c r="C937">
        <v>22</v>
      </c>
      <c r="D937">
        <v>184</v>
      </c>
    </row>
    <row r="938" spans="1:4" x14ac:dyDescent="0.35">
      <c r="A938" t="s">
        <v>180</v>
      </c>
      <c r="B938">
        <v>2219</v>
      </c>
      <c r="C938">
        <v>2200</v>
      </c>
      <c r="D938">
        <v>9655</v>
      </c>
    </row>
    <row r="939" spans="1:4" x14ac:dyDescent="0.35">
      <c r="A939" t="s">
        <v>1108</v>
      </c>
      <c r="B939">
        <v>3035</v>
      </c>
      <c r="C939">
        <v>3000</v>
      </c>
      <c r="D939">
        <v>15377</v>
      </c>
    </row>
    <row r="940" spans="1:4" x14ac:dyDescent="0.35">
      <c r="A940" t="s">
        <v>65</v>
      </c>
      <c r="B940">
        <v>15852</v>
      </c>
      <c r="C940">
        <v>15096</v>
      </c>
      <c r="D940">
        <v>0</v>
      </c>
    </row>
    <row r="941" spans="1:4" x14ac:dyDescent="0.35">
      <c r="A941" t="s">
        <v>114</v>
      </c>
      <c r="B941">
        <v>3485</v>
      </c>
      <c r="C941">
        <v>3437</v>
      </c>
      <c r="D941">
        <v>6557</v>
      </c>
    </row>
    <row r="942" spans="1:4" x14ac:dyDescent="0.35">
      <c r="A942" t="s">
        <v>1109</v>
      </c>
      <c r="B942">
        <v>3990</v>
      </c>
      <c r="C942">
        <v>3870</v>
      </c>
      <c r="D942">
        <v>1097</v>
      </c>
    </row>
    <row r="943" spans="1:4" x14ac:dyDescent="0.35">
      <c r="A943" t="s">
        <v>1110</v>
      </c>
      <c r="B943">
        <v>54</v>
      </c>
      <c r="C943">
        <v>53</v>
      </c>
      <c r="D943">
        <v>147</v>
      </c>
    </row>
    <row r="944" spans="1:4" x14ac:dyDescent="0.35">
      <c r="A944" t="s">
        <v>1111</v>
      </c>
      <c r="B944">
        <v>5</v>
      </c>
      <c r="C944">
        <v>5</v>
      </c>
      <c r="D944">
        <v>270</v>
      </c>
    </row>
    <row r="945" spans="1:4" x14ac:dyDescent="0.35">
      <c r="A945" t="s">
        <v>1112</v>
      </c>
      <c r="B945">
        <v>252</v>
      </c>
      <c r="C945">
        <v>250</v>
      </c>
      <c r="D945">
        <v>1408</v>
      </c>
    </row>
    <row r="946" spans="1:4" x14ac:dyDescent="0.35">
      <c r="A946" t="s">
        <v>1113</v>
      </c>
      <c r="B946">
        <v>200</v>
      </c>
      <c r="C946">
        <v>150</v>
      </c>
      <c r="D946">
        <v>23</v>
      </c>
    </row>
    <row r="947" spans="1:4" x14ac:dyDescent="0.35">
      <c r="A947" t="s">
        <v>1114</v>
      </c>
      <c r="B947">
        <v>5008</v>
      </c>
      <c r="C947">
        <v>5050</v>
      </c>
      <c r="D947">
        <v>224</v>
      </c>
    </row>
    <row r="948" spans="1:4" x14ac:dyDescent="0.35">
      <c r="A948" t="s">
        <v>1115</v>
      </c>
      <c r="B948">
        <v>85</v>
      </c>
      <c r="C948">
        <v>85</v>
      </c>
      <c r="D948">
        <v>3</v>
      </c>
    </row>
    <row r="949" spans="1:4" x14ac:dyDescent="0.35">
      <c r="A949" t="s">
        <v>1116</v>
      </c>
      <c r="B949">
        <v>89</v>
      </c>
      <c r="C949">
        <v>90</v>
      </c>
      <c r="D949">
        <v>805</v>
      </c>
    </row>
    <row r="950" spans="1:4" x14ac:dyDescent="0.35">
      <c r="A950" t="s">
        <v>1117</v>
      </c>
      <c r="B950">
        <v>61</v>
      </c>
      <c r="C950">
        <v>50</v>
      </c>
      <c r="D950">
        <v>0</v>
      </c>
    </row>
    <row r="951" spans="1:4" x14ac:dyDescent="0.35">
      <c r="A951" t="s">
        <v>1118</v>
      </c>
      <c r="B951">
        <v>1050</v>
      </c>
      <c r="C951">
        <v>823</v>
      </c>
      <c r="D951">
        <v>430</v>
      </c>
    </row>
    <row r="952" spans="1:4" x14ac:dyDescent="0.35">
      <c r="A952" t="s">
        <v>1119</v>
      </c>
      <c r="B952">
        <v>248</v>
      </c>
      <c r="C952">
        <v>238</v>
      </c>
      <c r="D952">
        <v>91</v>
      </c>
    </row>
    <row r="953" spans="1:4" x14ac:dyDescent="0.35">
      <c r="A953" t="s">
        <v>1120</v>
      </c>
      <c r="B953">
        <v>619</v>
      </c>
      <c r="C953">
        <v>595</v>
      </c>
      <c r="D953">
        <v>3294</v>
      </c>
    </row>
    <row r="954" spans="1:4" x14ac:dyDescent="0.35">
      <c r="A954" t="s">
        <v>1121</v>
      </c>
      <c r="B954">
        <v>1350000</v>
      </c>
      <c r="C954">
        <v>1113574</v>
      </c>
      <c r="D954">
        <v>0</v>
      </c>
    </row>
    <row r="955" spans="1:4" x14ac:dyDescent="0.35">
      <c r="A955" t="s">
        <v>1122</v>
      </c>
      <c r="B955">
        <v>1388</v>
      </c>
      <c r="C955">
        <v>1250</v>
      </c>
      <c r="D955">
        <v>225</v>
      </c>
    </row>
    <row r="956" spans="1:4" x14ac:dyDescent="0.35">
      <c r="A956" t="s">
        <v>1123</v>
      </c>
      <c r="B956">
        <v>11825</v>
      </c>
      <c r="C956">
        <v>7886</v>
      </c>
      <c r="D956">
        <v>2988</v>
      </c>
    </row>
    <row r="957" spans="1:4" x14ac:dyDescent="0.35">
      <c r="A957" t="s">
        <v>1124</v>
      </c>
      <c r="B957">
        <v>760</v>
      </c>
      <c r="C957">
        <v>755</v>
      </c>
      <c r="D957">
        <v>10434</v>
      </c>
    </row>
    <row r="958" spans="1:4" x14ac:dyDescent="0.35">
      <c r="A958" t="s">
        <v>1125</v>
      </c>
      <c r="B958">
        <v>3174</v>
      </c>
      <c r="C958">
        <v>3110</v>
      </c>
      <c r="D958">
        <v>6354</v>
      </c>
    </row>
    <row r="959" spans="1:4" x14ac:dyDescent="0.35">
      <c r="A959" t="s">
        <v>1126</v>
      </c>
      <c r="B959">
        <v>1450</v>
      </c>
      <c r="C959">
        <v>1522</v>
      </c>
      <c r="D959">
        <v>0</v>
      </c>
    </row>
    <row r="960" spans="1:4" x14ac:dyDescent="0.35">
      <c r="A960" t="s">
        <v>1127</v>
      </c>
      <c r="B960">
        <v>1826</v>
      </c>
      <c r="C960">
        <v>1731</v>
      </c>
      <c r="D960">
        <v>2206</v>
      </c>
    </row>
    <row r="961" spans="1:4" x14ac:dyDescent="0.35">
      <c r="A961" t="s">
        <v>1128</v>
      </c>
      <c r="B961">
        <v>3027</v>
      </c>
      <c r="C961">
        <v>2500</v>
      </c>
      <c r="D961">
        <v>86</v>
      </c>
    </row>
    <row r="962" spans="1:4" x14ac:dyDescent="0.35">
      <c r="A962" t="s">
        <v>1129</v>
      </c>
      <c r="B962">
        <v>1848</v>
      </c>
      <c r="C962">
        <v>1865</v>
      </c>
      <c r="D962">
        <v>79</v>
      </c>
    </row>
    <row r="963" spans="1:4" x14ac:dyDescent="0.35">
      <c r="A963" t="s">
        <v>1130</v>
      </c>
      <c r="B963">
        <v>400</v>
      </c>
      <c r="C963">
        <v>371</v>
      </c>
      <c r="D963">
        <v>77</v>
      </c>
    </row>
    <row r="964" spans="1:4" x14ac:dyDescent="0.35">
      <c r="A964" t="s">
        <v>1131</v>
      </c>
      <c r="B964">
        <v>2004</v>
      </c>
      <c r="C964">
        <v>500</v>
      </c>
      <c r="D964">
        <v>41</v>
      </c>
    </row>
    <row r="965" spans="1:4" x14ac:dyDescent="0.35">
      <c r="A965" t="s">
        <v>1132</v>
      </c>
      <c r="B965">
        <v>762</v>
      </c>
      <c r="C965">
        <v>820</v>
      </c>
      <c r="D965">
        <v>1</v>
      </c>
    </row>
    <row r="966" spans="1:4" x14ac:dyDescent="0.35">
      <c r="A966" t="s">
        <v>1133</v>
      </c>
      <c r="B966">
        <v>180278</v>
      </c>
      <c r="C966">
        <v>167755</v>
      </c>
      <c r="D966">
        <v>31</v>
      </c>
    </row>
    <row r="967" spans="1:4" x14ac:dyDescent="0.35">
      <c r="A967" t="s">
        <v>1134</v>
      </c>
      <c r="B967">
        <v>187218</v>
      </c>
      <c r="C967">
        <v>183845</v>
      </c>
      <c r="D967">
        <v>23</v>
      </c>
    </row>
    <row r="968" spans="1:4" x14ac:dyDescent="0.35">
      <c r="A968" t="s">
        <v>1135</v>
      </c>
      <c r="B968">
        <v>200842</v>
      </c>
      <c r="C968">
        <v>199485</v>
      </c>
      <c r="D968">
        <v>22</v>
      </c>
    </row>
    <row r="969" spans="1:4" x14ac:dyDescent="0.35">
      <c r="A969" t="s">
        <v>1136</v>
      </c>
      <c r="B969">
        <v>188260</v>
      </c>
      <c r="C969">
        <v>187155</v>
      </c>
      <c r="D969">
        <v>22</v>
      </c>
    </row>
    <row r="970" spans="1:4" x14ac:dyDescent="0.35">
      <c r="A970" t="s">
        <v>1137</v>
      </c>
      <c r="B970">
        <v>6302666</v>
      </c>
      <c r="C970">
        <v>6004805</v>
      </c>
      <c r="D970">
        <v>2</v>
      </c>
    </row>
    <row r="971" spans="1:4" x14ac:dyDescent="0.35">
      <c r="A971" t="s">
        <v>1138</v>
      </c>
      <c r="B971">
        <v>908</v>
      </c>
      <c r="C971">
        <v>680</v>
      </c>
      <c r="D971">
        <v>42</v>
      </c>
    </row>
    <row r="972" spans="1:4" x14ac:dyDescent="0.35">
      <c r="A972" t="s">
        <v>1139</v>
      </c>
      <c r="B972">
        <v>12</v>
      </c>
      <c r="C972">
        <v>250</v>
      </c>
      <c r="D972">
        <v>0</v>
      </c>
    </row>
    <row r="973" spans="1:4" x14ac:dyDescent="0.35">
      <c r="A973" t="s">
        <v>1140</v>
      </c>
      <c r="B973">
        <v>75000</v>
      </c>
      <c r="C973">
        <v>100000</v>
      </c>
      <c r="D973">
        <v>0</v>
      </c>
    </row>
    <row r="974" spans="1:4" x14ac:dyDescent="0.35">
      <c r="A974" t="s">
        <v>1141</v>
      </c>
      <c r="B974">
        <v>1</v>
      </c>
      <c r="C974">
        <v>1</v>
      </c>
      <c r="D974">
        <v>0</v>
      </c>
    </row>
    <row r="975" spans="1:4" x14ac:dyDescent="0.35">
      <c r="A975" t="s">
        <v>1142</v>
      </c>
      <c r="B975">
        <v>5</v>
      </c>
      <c r="C975">
        <v>9</v>
      </c>
      <c r="D975">
        <v>0</v>
      </c>
    </row>
    <row r="976" spans="1:4" x14ac:dyDescent="0.35">
      <c r="A976" t="s">
        <v>1143</v>
      </c>
      <c r="B976">
        <v>8</v>
      </c>
      <c r="C976">
        <v>32</v>
      </c>
      <c r="D976">
        <v>1</v>
      </c>
    </row>
    <row r="977" spans="1:4" x14ac:dyDescent="0.35">
      <c r="A977" t="s">
        <v>1144</v>
      </c>
      <c r="B977">
        <v>272</v>
      </c>
      <c r="C977">
        <v>313</v>
      </c>
      <c r="D977">
        <v>0</v>
      </c>
    </row>
    <row r="978" spans="1:4" x14ac:dyDescent="0.35">
      <c r="A978" t="s">
        <v>1145</v>
      </c>
      <c r="B978">
        <v>765</v>
      </c>
      <c r="C978">
        <v>700</v>
      </c>
      <c r="D978">
        <v>9</v>
      </c>
    </row>
    <row r="979" spans="1:4" x14ac:dyDescent="0.35">
      <c r="A979" t="s">
        <v>1146</v>
      </c>
      <c r="B979">
        <v>908</v>
      </c>
      <c r="C979">
        <v>893</v>
      </c>
      <c r="D979">
        <v>103</v>
      </c>
    </row>
    <row r="980" spans="1:4" x14ac:dyDescent="0.35">
      <c r="A980" t="s">
        <v>1147</v>
      </c>
      <c r="B980">
        <v>5099</v>
      </c>
      <c r="C980">
        <v>7088</v>
      </c>
      <c r="D980">
        <v>0</v>
      </c>
    </row>
    <row r="981" spans="1:4" x14ac:dyDescent="0.35">
      <c r="A981" t="s">
        <v>1148</v>
      </c>
      <c r="B981">
        <v>1768</v>
      </c>
      <c r="C981">
        <v>778</v>
      </c>
      <c r="D981">
        <v>3</v>
      </c>
    </row>
    <row r="982" spans="1:4" x14ac:dyDescent="0.35">
      <c r="A982" t="s">
        <v>1149</v>
      </c>
      <c r="B982">
        <v>109</v>
      </c>
      <c r="C982">
        <v>101</v>
      </c>
      <c r="D982">
        <v>1</v>
      </c>
    </row>
    <row r="983" spans="1:4" x14ac:dyDescent="0.35">
      <c r="A983" t="s">
        <v>1150</v>
      </c>
      <c r="B983">
        <v>1287</v>
      </c>
      <c r="C983">
        <v>1251</v>
      </c>
      <c r="D983">
        <v>397</v>
      </c>
    </row>
    <row r="984" spans="1:4" x14ac:dyDescent="0.35">
      <c r="A984" t="s">
        <v>1151</v>
      </c>
      <c r="B984">
        <v>129036</v>
      </c>
      <c r="C984">
        <v>85111</v>
      </c>
      <c r="D984">
        <v>1</v>
      </c>
    </row>
    <row r="985" spans="1:4" x14ac:dyDescent="0.35">
      <c r="A985" t="s">
        <v>1152</v>
      </c>
      <c r="B985">
        <v>38</v>
      </c>
      <c r="C985">
        <v>15</v>
      </c>
      <c r="D985">
        <v>0</v>
      </c>
    </row>
    <row r="986" spans="1:4" x14ac:dyDescent="0.35">
      <c r="A986" t="s">
        <v>1153</v>
      </c>
      <c r="B986">
        <v>1231</v>
      </c>
      <c r="C986">
        <v>1292</v>
      </c>
      <c r="D986">
        <v>15</v>
      </c>
    </row>
    <row r="987" spans="1:4" x14ac:dyDescent="0.35">
      <c r="A987" t="s">
        <v>1154</v>
      </c>
      <c r="B987">
        <v>62</v>
      </c>
      <c r="C987">
        <v>56</v>
      </c>
      <c r="D987">
        <v>4420</v>
      </c>
    </row>
    <row r="988" spans="1:4" x14ac:dyDescent="0.35">
      <c r="A988" t="s">
        <v>1155</v>
      </c>
      <c r="B988">
        <v>8099</v>
      </c>
      <c r="C988">
        <v>8055</v>
      </c>
      <c r="D988">
        <v>405</v>
      </c>
    </row>
    <row r="989" spans="1:4" x14ac:dyDescent="0.35">
      <c r="A989" t="s">
        <v>1156</v>
      </c>
      <c r="B989">
        <v>23343</v>
      </c>
      <c r="C989">
        <v>21341</v>
      </c>
      <c r="D989">
        <v>52</v>
      </c>
    </row>
    <row r="990" spans="1:4" x14ac:dyDescent="0.35">
      <c r="A990" t="s">
        <v>1157</v>
      </c>
      <c r="B990">
        <v>20335</v>
      </c>
      <c r="C990">
        <v>18780</v>
      </c>
      <c r="D990">
        <v>2838</v>
      </c>
    </row>
    <row r="991" spans="1:4" x14ac:dyDescent="0.35">
      <c r="A991" t="s">
        <v>1158</v>
      </c>
      <c r="B991">
        <v>2350</v>
      </c>
      <c r="C991">
        <v>1844</v>
      </c>
      <c r="D991">
        <v>19</v>
      </c>
    </row>
    <row r="992" spans="1:4" x14ac:dyDescent="0.35">
      <c r="A992" t="s">
        <v>1159</v>
      </c>
      <c r="B992">
        <v>307</v>
      </c>
      <c r="C992">
        <v>250</v>
      </c>
      <c r="D992">
        <v>0</v>
      </c>
    </row>
    <row r="993" spans="1:4" x14ac:dyDescent="0.35">
      <c r="A993" t="s">
        <v>1160</v>
      </c>
      <c r="B993">
        <v>84</v>
      </c>
      <c r="C993">
        <v>80</v>
      </c>
      <c r="D993">
        <v>1947700</v>
      </c>
    </row>
    <row r="994" spans="1:4" x14ac:dyDescent="0.35">
      <c r="A994" t="s">
        <v>1161</v>
      </c>
      <c r="B994">
        <v>599</v>
      </c>
      <c r="C994">
        <v>298</v>
      </c>
      <c r="D994">
        <v>63</v>
      </c>
    </row>
    <row r="995" spans="1:4" x14ac:dyDescent="0.35">
      <c r="A995" t="s">
        <v>1162</v>
      </c>
      <c r="B995">
        <v>750</v>
      </c>
      <c r="C995">
        <v>300</v>
      </c>
      <c r="D995">
        <v>3</v>
      </c>
    </row>
    <row r="996" spans="1:4" x14ac:dyDescent="0.35">
      <c r="A996" t="s">
        <v>1163</v>
      </c>
      <c r="B996">
        <v>155</v>
      </c>
      <c r="C996">
        <v>152</v>
      </c>
      <c r="D996">
        <v>317</v>
      </c>
    </row>
    <row r="997" spans="1:4" x14ac:dyDescent="0.35">
      <c r="A997" t="s">
        <v>1164</v>
      </c>
      <c r="B997">
        <v>900</v>
      </c>
      <c r="C997">
        <v>500</v>
      </c>
      <c r="D997">
        <v>88</v>
      </c>
    </row>
    <row r="998" spans="1:4" x14ac:dyDescent="0.35">
      <c r="A998" t="s">
        <v>1165</v>
      </c>
      <c r="B998">
        <v>39383</v>
      </c>
      <c r="C998">
        <v>38362</v>
      </c>
      <c r="D998">
        <v>436</v>
      </c>
    </row>
    <row r="999" spans="1:4" x14ac:dyDescent="0.35">
      <c r="A999" t="s">
        <v>1166</v>
      </c>
      <c r="B999">
        <v>54</v>
      </c>
      <c r="C999">
        <v>54</v>
      </c>
      <c r="D999">
        <v>27311</v>
      </c>
    </row>
    <row r="1000" spans="1:4" x14ac:dyDescent="0.35">
      <c r="A1000" t="s">
        <v>1167</v>
      </c>
      <c r="B1000">
        <v>6999</v>
      </c>
      <c r="C1000">
        <v>6470</v>
      </c>
      <c r="D1000">
        <v>1</v>
      </c>
    </row>
    <row r="1001" spans="1:4" x14ac:dyDescent="0.35">
      <c r="A1001" t="s">
        <v>1168</v>
      </c>
      <c r="B1001">
        <v>284</v>
      </c>
      <c r="C1001">
        <v>215</v>
      </c>
      <c r="D1001">
        <v>64</v>
      </c>
    </row>
    <row r="1002" spans="1:4" x14ac:dyDescent="0.35">
      <c r="A1002" t="s">
        <v>1169</v>
      </c>
      <c r="B1002">
        <v>13609</v>
      </c>
      <c r="C1002">
        <v>5000</v>
      </c>
      <c r="D1002">
        <v>0</v>
      </c>
    </row>
    <row r="1003" spans="1:4" x14ac:dyDescent="0.35">
      <c r="A1003" t="s">
        <v>1170</v>
      </c>
      <c r="B1003">
        <v>26888</v>
      </c>
      <c r="C1003">
        <v>12322</v>
      </c>
      <c r="D1003">
        <v>0</v>
      </c>
    </row>
    <row r="1004" spans="1:4" x14ac:dyDescent="0.35">
      <c r="A1004" t="s">
        <v>1171</v>
      </c>
      <c r="B1004">
        <v>49414</v>
      </c>
      <c r="C1004">
        <v>49414</v>
      </c>
      <c r="D1004">
        <v>5</v>
      </c>
    </row>
    <row r="1005" spans="1:4" x14ac:dyDescent="0.35">
      <c r="A1005" t="s">
        <v>1172</v>
      </c>
      <c r="B1005">
        <v>320000</v>
      </c>
      <c r="C1005">
        <v>100000</v>
      </c>
      <c r="D1005">
        <v>0</v>
      </c>
    </row>
    <row r="1006" spans="1:4" x14ac:dyDescent="0.35">
      <c r="A1006" t="s">
        <v>1173</v>
      </c>
      <c r="B1006">
        <v>308</v>
      </c>
      <c r="C1006">
        <v>304</v>
      </c>
      <c r="D1006">
        <v>30</v>
      </c>
    </row>
    <row r="1007" spans="1:4" x14ac:dyDescent="0.35">
      <c r="A1007" t="s">
        <v>1174</v>
      </c>
      <c r="B1007">
        <v>290</v>
      </c>
      <c r="C1007">
        <v>290</v>
      </c>
      <c r="D1007">
        <v>0</v>
      </c>
    </row>
    <row r="1008" spans="1:4" x14ac:dyDescent="0.35">
      <c r="A1008" t="s">
        <v>1175</v>
      </c>
      <c r="B1008">
        <v>2999</v>
      </c>
      <c r="C1008">
        <v>2900</v>
      </c>
      <c r="D1008">
        <v>61</v>
      </c>
    </row>
    <row r="1009" spans="1:4" x14ac:dyDescent="0.35">
      <c r="A1009" t="s">
        <v>1176</v>
      </c>
      <c r="B1009">
        <v>41</v>
      </c>
      <c r="C1009">
        <v>45</v>
      </c>
      <c r="D1009">
        <v>0</v>
      </c>
    </row>
    <row r="1010" spans="1:4" x14ac:dyDescent="0.35">
      <c r="A1010" t="s">
        <v>1177</v>
      </c>
      <c r="B1010">
        <v>200</v>
      </c>
      <c r="C1010">
        <v>200</v>
      </c>
      <c r="D1010">
        <v>38</v>
      </c>
    </row>
    <row r="1011" spans="1:4" x14ac:dyDescent="0.35">
      <c r="A1011" t="s">
        <v>1178</v>
      </c>
      <c r="B1011">
        <v>720</v>
      </c>
      <c r="C1011">
        <v>700</v>
      </c>
      <c r="D1011">
        <v>3575</v>
      </c>
    </row>
    <row r="1012" spans="1:4" x14ac:dyDescent="0.35">
      <c r="A1012" t="s">
        <v>1179</v>
      </c>
      <c r="B1012">
        <v>218</v>
      </c>
      <c r="C1012">
        <v>150</v>
      </c>
      <c r="D1012">
        <v>255</v>
      </c>
    </row>
    <row r="1013" spans="1:4" x14ac:dyDescent="0.35">
      <c r="A1013" t="s">
        <v>1180</v>
      </c>
      <c r="B1013">
        <v>2600</v>
      </c>
      <c r="D1013">
        <v>0</v>
      </c>
    </row>
    <row r="1014" spans="1:4" x14ac:dyDescent="0.35">
      <c r="A1014" t="s">
        <v>1181</v>
      </c>
      <c r="B1014">
        <v>8499</v>
      </c>
      <c r="C1014">
        <v>2601</v>
      </c>
      <c r="D1014">
        <v>0</v>
      </c>
    </row>
    <row r="1015" spans="1:4" x14ac:dyDescent="0.35">
      <c r="A1015" t="s">
        <v>1182</v>
      </c>
      <c r="B1015">
        <v>5000</v>
      </c>
      <c r="C1015">
        <v>150</v>
      </c>
      <c r="D1015">
        <v>2</v>
      </c>
    </row>
    <row r="1016" spans="1:4" x14ac:dyDescent="0.35">
      <c r="A1016" t="s">
        <v>1183</v>
      </c>
      <c r="B1016">
        <v>1939</v>
      </c>
      <c r="C1016">
        <v>1939</v>
      </c>
      <c r="D1016">
        <v>0</v>
      </c>
    </row>
    <row r="1017" spans="1:4" x14ac:dyDescent="0.35">
      <c r="A1017" t="s">
        <v>1184</v>
      </c>
      <c r="B1017">
        <v>37</v>
      </c>
      <c r="C1017">
        <v>37</v>
      </c>
      <c r="D1017">
        <v>15</v>
      </c>
    </row>
    <row r="1018" spans="1:4" x14ac:dyDescent="0.35">
      <c r="A1018" t="s">
        <v>1185</v>
      </c>
      <c r="B1018">
        <v>326</v>
      </c>
      <c r="C1018">
        <v>20</v>
      </c>
      <c r="D1018">
        <v>1</v>
      </c>
    </row>
    <row r="1019" spans="1:4" x14ac:dyDescent="0.35">
      <c r="A1019" t="s">
        <v>1186</v>
      </c>
      <c r="B1019">
        <v>370</v>
      </c>
      <c r="C1019">
        <v>308</v>
      </c>
      <c r="D1019">
        <v>1584</v>
      </c>
    </row>
    <row r="1020" spans="1:4" x14ac:dyDescent="0.35">
      <c r="A1020" t="s">
        <v>160</v>
      </c>
      <c r="B1020">
        <v>55</v>
      </c>
      <c r="C1020">
        <v>61</v>
      </c>
      <c r="D1020">
        <v>1904</v>
      </c>
    </row>
    <row r="1021" spans="1:4" x14ac:dyDescent="0.35">
      <c r="A1021" t="s">
        <v>1187</v>
      </c>
      <c r="B1021">
        <v>500</v>
      </c>
      <c r="C1021">
        <v>305</v>
      </c>
      <c r="D1021">
        <v>0</v>
      </c>
    </row>
    <row r="1022" spans="1:4" x14ac:dyDescent="0.35">
      <c r="A1022" t="s">
        <v>1188</v>
      </c>
      <c r="B1022">
        <v>110</v>
      </c>
      <c r="C1022">
        <v>110</v>
      </c>
      <c r="D1022">
        <v>0</v>
      </c>
    </row>
    <row r="1023" spans="1:4" x14ac:dyDescent="0.35">
      <c r="A1023" t="s">
        <v>1189</v>
      </c>
      <c r="B1023">
        <v>63</v>
      </c>
      <c r="C1023">
        <v>63</v>
      </c>
      <c r="D1023">
        <v>0</v>
      </c>
    </row>
    <row r="1024" spans="1:4" x14ac:dyDescent="0.35">
      <c r="A1024" t="s">
        <v>1190</v>
      </c>
      <c r="B1024">
        <v>274</v>
      </c>
      <c r="C1024">
        <v>288</v>
      </c>
      <c r="D1024">
        <v>0</v>
      </c>
    </row>
    <row r="1025" spans="1:4" x14ac:dyDescent="0.35">
      <c r="A1025" t="s">
        <v>1191</v>
      </c>
      <c r="B1025">
        <v>100</v>
      </c>
      <c r="C1025">
        <v>19</v>
      </c>
      <c r="D1025">
        <v>0</v>
      </c>
    </row>
    <row r="1026" spans="1:4" x14ac:dyDescent="0.35">
      <c r="A1026" t="s">
        <v>1192</v>
      </c>
      <c r="B1026">
        <v>104172</v>
      </c>
      <c r="C1026">
        <v>104215</v>
      </c>
      <c r="D1026">
        <v>51</v>
      </c>
    </row>
    <row r="1027" spans="1:4" x14ac:dyDescent="0.35">
      <c r="A1027" t="s">
        <v>1193</v>
      </c>
      <c r="B1027">
        <v>55497</v>
      </c>
      <c r="C1027">
        <v>42069</v>
      </c>
      <c r="D1027">
        <v>36</v>
      </c>
    </row>
    <row r="1028" spans="1:4" x14ac:dyDescent="0.35">
      <c r="A1028" t="s">
        <v>1194</v>
      </c>
      <c r="B1028">
        <v>12109193</v>
      </c>
      <c r="C1028">
        <v>11801300</v>
      </c>
      <c r="D1028">
        <v>10</v>
      </c>
    </row>
    <row r="1029" spans="1:4" x14ac:dyDescent="0.35">
      <c r="A1029" t="s">
        <v>1195</v>
      </c>
      <c r="B1029">
        <v>58</v>
      </c>
      <c r="C1029">
        <v>57</v>
      </c>
      <c r="D1029">
        <v>0</v>
      </c>
    </row>
    <row r="1030" spans="1:4" x14ac:dyDescent="0.35">
      <c r="A1030" t="s">
        <v>1196</v>
      </c>
      <c r="B1030">
        <v>10068</v>
      </c>
      <c r="C1030">
        <v>5000</v>
      </c>
      <c r="D1030">
        <v>0</v>
      </c>
    </row>
    <row r="1031" spans="1:4" x14ac:dyDescent="0.35">
      <c r="A1031" t="s">
        <v>1197</v>
      </c>
      <c r="B1031">
        <v>8969</v>
      </c>
      <c r="C1031">
        <v>12000</v>
      </c>
      <c r="D1031">
        <v>0</v>
      </c>
    </row>
    <row r="1032" spans="1:4" x14ac:dyDescent="0.35">
      <c r="A1032" t="s">
        <v>1198</v>
      </c>
      <c r="B1032">
        <v>1500000</v>
      </c>
      <c r="C1032">
        <v>1500000</v>
      </c>
      <c r="D1032">
        <v>0</v>
      </c>
    </row>
    <row r="1033" spans="1:4" x14ac:dyDescent="0.35">
      <c r="A1033" t="s">
        <v>1199</v>
      </c>
      <c r="B1033">
        <v>28740</v>
      </c>
      <c r="C1033">
        <v>27500</v>
      </c>
      <c r="D1033">
        <v>0</v>
      </c>
    </row>
    <row r="1034" spans="1:4" x14ac:dyDescent="0.35">
      <c r="A1034" t="s">
        <v>1200</v>
      </c>
      <c r="B1034">
        <v>331</v>
      </c>
      <c r="C1034">
        <v>765</v>
      </c>
      <c r="D1034">
        <v>0</v>
      </c>
    </row>
    <row r="1035" spans="1:4" x14ac:dyDescent="0.35">
      <c r="A1035" t="s">
        <v>1201</v>
      </c>
      <c r="B1035">
        <v>301</v>
      </c>
      <c r="C1035">
        <v>20000</v>
      </c>
      <c r="D1035">
        <v>1</v>
      </c>
    </row>
    <row r="1036" spans="1:4" x14ac:dyDescent="0.35">
      <c r="A1036" t="s">
        <v>1202</v>
      </c>
      <c r="B1036">
        <v>348573</v>
      </c>
      <c r="C1036">
        <v>3568</v>
      </c>
      <c r="D1036">
        <v>1</v>
      </c>
    </row>
    <row r="1037" spans="1:4" x14ac:dyDescent="0.35">
      <c r="A1037" t="s">
        <v>1203</v>
      </c>
      <c r="B1037">
        <v>899</v>
      </c>
      <c r="C1037">
        <v>865</v>
      </c>
      <c r="D1037">
        <v>35038</v>
      </c>
    </row>
    <row r="1038" spans="1:4" x14ac:dyDescent="0.35">
      <c r="A1038" t="s">
        <v>1204</v>
      </c>
      <c r="B1038">
        <v>42562</v>
      </c>
      <c r="C1038">
        <v>39200</v>
      </c>
      <c r="D1038">
        <v>20</v>
      </c>
    </row>
    <row r="1039" spans="1:4" x14ac:dyDescent="0.35">
      <c r="A1039" t="s">
        <v>1205</v>
      </c>
      <c r="B1039">
        <v>92</v>
      </c>
      <c r="C1039">
        <v>90</v>
      </c>
      <c r="D1039">
        <v>5817</v>
      </c>
    </row>
    <row r="1040" spans="1:4" x14ac:dyDescent="0.35">
      <c r="A1040" t="s">
        <v>1206</v>
      </c>
      <c r="B1040">
        <v>1500</v>
      </c>
      <c r="C1040">
        <v>683</v>
      </c>
      <c r="D1040">
        <v>1</v>
      </c>
    </row>
    <row r="1041" spans="1:4" x14ac:dyDescent="0.35">
      <c r="A1041" t="s">
        <v>1207</v>
      </c>
      <c r="B1041">
        <v>14391</v>
      </c>
      <c r="C1041">
        <v>14391</v>
      </c>
      <c r="D1041">
        <v>0</v>
      </c>
    </row>
    <row r="1042" spans="1:4" x14ac:dyDescent="0.35">
      <c r="A1042" t="s">
        <v>1208</v>
      </c>
      <c r="B1042">
        <v>642</v>
      </c>
      <c r="C1042">
        <v>707</v>
      </c>
      <c r="D1042">
        <v>653</v>
      </c>
    </row>
    <row r="1043" spans="1:4" x14ac:dyDescent="0.35">
      <c r="A1043" t="s">
        <v>1209</v>
      </c>
      <c r="B1043">
        <v>42284</v>
      </c>
      <c r="C1043">
        <v>42000</v>
      </c>
      <c r="D1043">
        <v>2</v>
      </c>
    </row>
    <row r="1044" spans="1:4" x14ac:dyDescent="0.35">
      <c r="A1044" t="s">
        <v>1210</v>
      </c>
      <c r="B1044">
        <v>900</v>
      </c>
      <c r="C1044">
        <v>885</v>
      </c>
      <c r="D1044">
        <v>1420</v>
      </c>
    </row>
    <row r="1045" spans="1:4" x14ac:dyDescent="0.35">
      <c r="A1045" t="s">
        <v>1211</v>
      </c>
      <c r="B1045">
        <v>2873997</v>
      </c>
      <c r="C1045">
        <v>2285286</v>
      </c>
      <c r="D1045">
        <v>0</v>
      </c>
    </row>
    <row r="1046" spans="1:4" x14ac:dyDescent="0.35">
      <c r="A1046" t="s">
        <v>1212</v>
      </c>
      <c r="B1046">
        <v>2997997</v>
      </c>
      <c r="C1046">
        <v>2211225</v>
      </c>
      <c r="D1046">
        <v>0</v>
      </c>
    </row>
    <row r="1047" spans="1:4" x14ac:dyDescent="0.35">
      <c r="A1047" t="s">
        <v>1213</v>
      </c>
      <c r="B1047">
        <v>415225</v>
      </c>
      <c r="C1047">
        <v>388957</v>
      </c>
      <c r="D1047">
        <v>5</v>
      </c>
    </row>
    <row r="1048" spans="1:4" x14ac:dyDescent="0.35">
      <c r="A1048" t="s">
        <v>1214</v>
      </c>
      <c r="B1048">
        <v>182</v>
      </c>
      <c r="C1048">
        <v>178</v>
      </c>
      <c r="D1048">
        <v>638320</v>
      </c>
    </row>
    <row r="1049" spans="1:4" x14ac:dyDescent="0.35">
      <c r="A1049" t="s">
        <v>1215</v>
      </c>
      <c r="B1049">
        <v>329</v>
      </c>
      <c r="C1049">
        <v>198</v>
      </c>
      <c r="D1049">
        <v>1</v>
      </c>
    </row>
    <row r="1050" spans="1:4" x14ac:dyDescent="0.35">
      <c r="A1050" t="s">
        <v>1216</v>
      </c>
      <c r="B1050">
        <v>1</v>
      </c>
      <c r="C1050">
        <v>10</v>
      </c>
      <c r="D1050">
        <v>1</v>
      </c>
    </row>
    <row r="1051" spans="1:4" x14ac:dyDescent="0.35">
      <c r="A1051" t="s">
        <v>1217</v>
      </c>
      <c r="B1051">
        <v>200</v>
      </c>
      <c r="C1051">
        <v>105</v>
      </c>
      <c r="D1051">
        <v>1</v>
      </c>
    </row>
    <row r="1052" spans="1:4" x14ac:dyDescent="0.35">
      <c r="A1052" t="s">
        <v>1218</v>
      </c>
      <c r="B1052">
        <v>1860</v>
      </c>
      <c r="C1052">
        <v>1860</v>
      </c>
      <c r="D1052">
        <v>13245</v>
      </c>
    </row>
    <row r="1053" spans="1:4" x14ac:dyDescent="0.35">
      <c r="A1053" t="s">
        <v>131</v>
      </c>
      <c r="B1053">
        <v>296</v>
      </c>
      <c r="C1053">
        <v>247</v>
      </c>
      <c r="D1053">
        <v>2279</v>
      </c>
    </row>
    <row r="1054" spans="1:4" x14ac:dyDescent="0.35">
      <c r="A1054" t="s">
        <v>1219</v>
      </c>
      <c r="B1054">
        <v>32</v>
      </c>
      <c r="C1054">
        <v>32</v>
      </c>
      <c r="D1054">
        <v>105</v>
      </c>
    </row>
    <row r="1055" spans="1:4" x14ac:dyDescent="0.35">
      <c r="A1055" t="s">
        <v>1220</v>
      </c>
      <c r="B1055">
        <v>21</v>
      </c>
      <c r="C1055">
        <v>36</v>
      </c>
      <c r="D1055">
        <v>255</v>
      </c>
    </row>
    <row r="1056" spans="1:4" x14ac:dyDescent="0.35">
      <c r="A1056" t="s">
        <v>1221</v>
      </c>
      <c r="B1056">
        <v>36920</v>
      </c>
      <c r="C1056">
        <v>32000</v>
      </c>
      <c r="D1056">
        <v>19</v>
      </c>
    </row>
    <row r="1057" spans="1:4" x14ac:dyDescent="0.35">
      <c r="A1057" t="s">
        <v>1222</v>
      </c>
      <c r="B1057">
        <v>12077</v>
      </c>
      <c r="C1057">
        <v>12068</v>
      </c>
      <c r="D1057">
        <v>1000</v>
      </c>
    </row>
    <row r="1058" spans="1:4" x14ac:dyDescent="0.35">
      <c r="A1058" t="s">
        <v>1223</v>
      </c>
      <c r="B1058">
        <v>12373</v>
      </c>
      <c r="C1058">
        <v>12001</v>
      </c>
      <c r="D1058">
        <v>87</v>
      </c>
    </row>
    <row r="1059" spans="1:4" x14ac:dyDescent="0.35">
      <c r="A1059" t="s">
        <v>1224</v>
      </c>
      <c r="B1059">
        <v>12540</v>
      </c>
      <c r="C1059">
        <v>12103</v>
      </c>
      <c r="D1059">
        <v>358</v>
      </c>
    </row>
    <row r="1060" spans="1:4" x14ac:dyDescent="0.35">
      <c r="A1060" t="s">
        <v>1225</v>
      </c>
      <c r="B1060">
        <v>1</v>
      </c>
      <c r="C1060">
        <v>311</v>
      </c>
      <c r="D1060">
        <v>0</v>
      </c>
    </row>
    <row r="1061" spans="1:4" x14ac:dyDescent="0.35">
      <c r="A1061" t="s">
        <v>1226</v>
      </c>
      <c r="B1061">
        <v>169</v>
      </c>
      <c r="C1061">
        <v>367</v>
      </c>
      <c r="D1061">
        <v>0</v>
      </c>
    </row>
    <row r="1062" spans="1:4" x14ac:dyDescent="0.35">
      <c r="A1062" t="s">
        <v>1227</v>
      </c>
      <c r="B1062">
        <v>888</v>
      </c>
      <c r="C1062">
        <v>500</v>
      </c>
      <c r="D1062">
        <v>0</v>
      </c>
    </row>
    <row r="1063" spans="1:4" x14ac:dyDescent="0.35">
      <c r="A1063" t="s">
        <v>1228</v>
      </c>
      <c r="B1063">
        <v>78</v>
      </c>
      <c r="C1063">
        <v>70</v>
      </c>
      <c r="D1063">
        <v>0</v>
      </c>
    </row>
    <row r="1064" spans="1:4" x14ac:dyDescent="0.35">
      <c r="A1064" t="s">
        <v>1229</v>
      </c>
      <c r="B1064">
        <v>178</v>
      </c>
      <c r="C1064">
        <v>82</v>
      </c>
      <c r="D1064">
        <v>0</v>
      </c>
    </row>
    <row r="1065" spans="1:4" x14ac:dyDescent="0.35">
      <c r="A1065" t="s">
        <v>1230</v>
      </c>
      <c r="B1065">
        <v>100</v>
      </c>
      <c r="C1065">
        <v>195</v>
      </c>
      <c r="D1065">
        <v>12</v>
      </c>
    </row>
    <row r="1066" spans="1:4" x14ac:dyDescent="0.35">
      <c r="A1066" t="s">
        <v>1231</v>
      </c>
      <c r="B1066">
        <v>319</v>
      </c>
      <c r="C1066">
        <v>282</v>
      </c>
      <c r="D1066">
        <v>400</v>
      </c>
    </row>
    <row r="1067" spans="1:4" x14ac:dyDescent="0.35">
      <c r="A1067" t="s">
        <v>1232</v>
      </c>
      <c r="B1067">
        <v>2000</v>
      </c>
      <c r="C1067">
        <v>1161</v>
      </c>
      <c r="D1067">
        <v>0</v>
      </c>
    </row>
    <row r="1068" spans="1:4" x14ac:dyDescent="0.35">
      <c r="A1068" t="s">
        <v>1233</v>
      </c>
      <c r="B1068">
        <v>642</v>
      </c>
      <c r="C1068">
        <v>575</v>
      </c>
      <c r="D1068">
        <v>2</v>
      </c>
    </row>
    <row r="1069" spans="1:4" x14ac:dyDescent="0.35">
      <c r="A1069" t="s">
        <v>1234</v>
      </c>
      <c r="B1069">
        <v>2270</v>
      </c>
      <c r="C1069">
        <v>900</v>
      </c>
      <c r="D1069">
        <v>11</v>
      </c>
    </row>
    <row r="1070" spans="1:4" x14ac:dyDescent="0.35">
      <c r="A1070" t="s">
        <v>1235</v>
      </c>
      <c r="B1070">
        <v>8</v>
      </c>
      <c r="C1070">
        <v>7</v>
      </c>
      <c r="D1070">
        <v>2601</v>
      </c>
    </row>
    <row r="1071" spans="1:4" x14ac:dyDescent="0.35">
      <c r="A1071" t="s">
        <v>1236</v>
      </c>
      <c r="B1071">
        <v>2</v>
      </c>
      <c r="C1071">
        <v>2</v>
      </c>
      <c r="D1071">
        <v>0</v>
      </c>
    </row>
    <row r="1072" spans="1:4" x14ac:dyDescent="0.35">
      <c r="A1072" t="s">
        <v>1237</v>
      </c>
      <c r="B1072">
        <v>22</v>
      </c>
      <c r="C1072">
        <v>34</v>
      </c>
      <c r="D1072">
        <v>0</v>
      </c>
    </row>
    <row r="1073" spans="1:4" x14ac:dyDescent="0.35">
      <c r="A1073" t="s">
        <v>1238</v>
      </c>
      <c r="B1073">
        <v>1</v>
      </c>
      <c r="C1073">
        <v>1</v>
      </c>
      <c r="D1073">
        <v>150</v>
      </c>
    </row>
    <row r="1074" spans="1:4" x14ac:dyDescent="0.35">
      <c r="A1074" t="s">
        <v>1239</v>
      </c>
      <c r="B1074">
        <v>1</v>
      </c>
      <c r="C1074">
        <v>1</v>
      </c>
      <c r="D1074">
        <v>50</v>
      </c>
    </row>
    <row r="1075" spans="1:4" x14ac:dyDescent="0.35">
      <c r="A1075" t="s">
        <v>1240</v>
      </c>
      <c r="B1075">
        <v>10559994</v>
      </c>
      <c r="C1075">
        <v>9937651</v>
      </c>
      <c r="D1075">
        <v>0</v>
      </c>
    </row>
    <row r="1076" spans="1:4" x14ac:dyDescent="0.35">
      <c r="A1076" t="s">
        <v>1241</v>
      </c>
      <c r="B1076">
        <v>105500428</v>
      </c>
      <c r="C1076">
        <v>102461485</v>
      </c>
      <c r="D1076">
        <v>19</v>
      </c>
    </row>
    <row r="1077" spans="1:4" x14ac:dyDescent="0.35">
      <c r="A1077" t="s">
        <v>1242</v>
      </c>
      <c r="B1077">
        <v>42673</v>
      </c>
      <c r="C1077">
        <v>42000</v>
      </c>
      <c r="D1077">
        <v>44</v>
      </c>
    </row>
    <row r="1078" spans="1:4" x14ac:dyDescent="0.35">
      <c r="A1078" t="s">
        <v>1243</v>
      </c>
      <c r="B1078">
        <v>54620</v>
      </c>
      <c r="C1078">
        <v>50105</v>
      </c>
      <c r="D1078">
        <v>0</v>
      </c>
    </row>
    <row r="1079" spans="1:4" x14ac:dyDescent="0.35">
      <c r="A1079" t="s">
        <v>1244</v>
      </c>
      <c r="B1079">
        <v>40586</v>
      </c>
      <c r="C1079">
        <v>38579</v>
      </c>
      <c r="D1079">
        <v>45</v>
      </c>
    </row>
    <row r="1080" spans="1:4" x14ac:dyDescent="0.35">
      <c r="A1080" t="s">
        <v>1245</v>
      </c>
      <c r="B1080">
        <v>123687</v>
      </c>
      <c r="C1080">
        <v>119229</v>
      </c>
      <c r="D1080">
        <v>4</v>
      </c>
    </row>
    <row r="1081" spans="1:4" x14ac:dyDescent="0.35">
      <c r="A1081" t="s">
        <v>1246</v>
      </c>
      <c r="B1081">
        <v>38489</v>
      </c>
      <c r="C1081">
        <v>39000</v>
      </c>
      <c r="D1081">
        <v>61</v>
      </c>
    </row>
    <row r="1082" spans="1:4" x14ac:dyDescent="0.35">
      <c r="A1082" t="s">
        <v>1247</v>
      </c>
      <c r="B1082">
        <v>329983</v>
      </c>
      <c r="C1082">
        <v>315866</v>
      </c>
      <c r="D1082">
        <v>45</v>
      </c>
    </row>
    <row r="1083" spans="1:4" x14ac:dyDescent="0.35">
      <c r="A1083" t="s">
        <v>1248</v>
      </c>
      <c r="B1083">
        <v>2800821</v>
      </c>
      <c r="C1083">
        <v>2500000</v>
      </c>
      <c r="D1083">
        <v>0</v>
      </c>
    </row>
    <row r="1084" spans="1:4" x14ac:dyDescent="0.35">
      <c r="A1084" t="s">
        <v>1249</v>
      </c>
      <c r="B1084">
        <v>88943000</v>
      </c>
      <c r="C1084">
        <v>89312111</v>
      </c>
      <c r="D1084">
        <v>1</v>
      </c>
    </row>
    <row r="1085" spans="1:4" x14ac:dyDescent="0.35">
      <c r="A1085" t="s">
        <v>1250</v>
      </c>
      <c r="B1085">
        <v>242958</v>
      </c>
      <c r="C1085">
        <v>242958</v>
      </c>
      <c r="D1085">
        <v>64</v>
      </c>
    </row>
    <row r="1086" spans="1:4" x14ac:dyDescent="0.35">
      <c r="A1086" t="s">
        <v>1251</v>
      </c>
      <c r="B1086">
        <v>8200000</v>
      </c>
      <c r="C1086">
        <v>7135147</v>
      </c>
      <c r="D1086">
        <v>5</v>
      </c>
    </row>
    <row r="1087" spans="1:4" x14ac:dyDescent="0.35">
      <c r="A1087" t="s">
        <v>1252</v>
      </c>
      <c r="B1087">
        <v>63912</v>
      </c>
      <c r="C1087">
        <v>37505</v>
      </c>
      <c r="D1087">
        <v>0</v>
      </c>
    </row>
    <row r="1088" spans="1:4" x14ac:dyDescent="0.35">
      <c r="A1088" t="s">
        <v>1253</v>
      </c>
      <c r="B1088">
        <v>56</v>
      </c>
      <c r="C1088">
        <v>100</v>
      </c>
      <c r="D1088">
        <v>0</v>
      </c>
    </row>
    <row r="1089" spans="1:4" x14ac:dyDescent="0.35">
      <c r="A1089" t="s">
        <v>1254</v>
      </c>
      <c r="B1089">
        <v>90</v>
      </c>
      <c r="C1089">
        <v>87</v>
      </c>
      <c r="D1089">
        <v>7879</v>
      </c>
    </row>
    <row r="1090" spans="1:4" x14ac:dyDescent="0.35">
      <c r="A1090" t="s">
        <v>1255</v>
      </c>
      <c r="B1090">
        <v>81</v>
      </c>
      <c r="C1090">
        <v>81</v>
      </c>
      <c r="D1090">
        <v>3</v>
      </c>
    </row>
    <row r="1091" spans="1:4" x14ac:dyDescent="0.35">
      <c r="A1091" t="s">
        <v>1256</v>
      </c>
      <c r="B1091">
        <v>0</v>
      </c>
      <c r="C1091">
        <v>0</v>
      </c>
      <c r="D1091">
        <v>0</v>
      </c>
    </row>
    <row r="1092" spans="1:4" x14ac:dyDescent="0.35">
      <c r="A1092" t="s">
        <v>1257</v>
      </c>
      <c r="B1092">
        <v>1027</v>
      </c>
      <c r="C1092">
        <v>1000</v>
      </c>
      <c r="D1092">
        <v>501</v>
      </c>
    </row>
    <row r="1093" spans="1:4" x14ac:dyDescent="0.35">
      <c r="A1093" t="s">
        <v>1258</v>
      </c>
      <c r="B1093">
        <v>1347</v>
      </c>
      <c r="C1093">
        <v>1558</v>
      </c>
      <c r="D1093">
        <v>0</v>
      </c>
    </row>
    <row r="1094" spans="1:4" x14ac:dyDescent="0.35">
      <c r="A1094" t="s">
        <v>1259</v>
      </c>
      <c r="B1094">
        <v>100</v>
      </c>
      <c r="C1094">
        <v>100</v>
      </c>
      <c r="D1094">
        <v>0</v>
      </c>
    </row>
    <row r="1095" spans="1:4" x14ac:dyDescent="0.35">
      <c r="A1095" t="s">
        <v>1260</v>
      </c>
      <c r="B1095">
        <v>786</v>
      </c>
      <c r="C1095">
        <v>222</v>
      </c>
      <c r="D1095">
        <v>0</v>
      </c>
    </row>
    <row r="1096" spans="1:4" x14ac:dyDescent="0.35">
      <c r="A1096" t="s">
        <v>1261</v>
      </c>
      <c r="B1096">
        <v>500</v>
      </c>
      <c r="C1096">
        <v>479</v>
      </c>
      <c r="D1096">
        <v>32664</v>
      </c>
    </row>
    <row r="1097" spans="1:4" x14ac:dyDescent="0.35">
      <c r="A1097" t="s">
        <v>1262</v>
      </c>
      <c r="B1097">
        <v>226</v>
      </c>
      <c r="C1097">
        <v>205</v>
      </c>
      <c r="D1097">
        <v>3887</v>
      </c>
    </row>
    <row r="1098" spans="1:4" x14ac:dyDescent="0.35">
      <c r="A1098" t="s">
        <v>1263</v>
      </c>
      <c r="B1098">
        <v>36</v>
      </c>
      <c r="C1098">
        <v>15</v>
      </c>
      <c r="D1098">
        <v>0</v>
      </c>
    </row>
    <row r="1099" spans="1:4" x14ac:dyDescent="0.35">
      <c r="A1099" t="s">
        <v>1264</v>
      </c>
      <c r="B1099">
        <v>98</v>
      </c>
      <c r="C1099">
        <v>86</v>
      </c>
      <c r="D1099">
        <v>1089</v>
      </c>
    </row>
    <row r="1100" spans="1:4" x14ac:dyDescent="0.35">
      <c r="A1100" t="s">
        <v>1265</v>
      </c>
      <c r="B1100">
        <v>2118</v>
      </c>
      <c r="C1100">
        <v>2021</v>
      </c>
      <c r="D1100">
        <v>10347</v>
      </c>
    </row>
    <row r="1101" spans="1:4" x14ac:dyDescent="0.35">
      <c r="A1101" t="s">
        <v>1266</v>
      </c>
      <c r="B1101">
        <v>6999</v>
      </c>
      <c r="C1101">
        <v>409</v>
      </c>
      <c r="D1101">
        <v>11</v>
      </c>
    </row>
    <row r="1102" spans="1:4" x14ac:dyDescent="0.35">
      <c r="A1102" t="s">
        <v>1267</v>
      </c>
      <c r="B1102">
        <v>6220</v>
      </c>
      <c r="C1102">
        <v>2574</v>
      </c>
      <c r="D1102">
        <v>3</v>
      </c>
    </row>
    <row r="1103" spans="1:4" x14ac:dyDescent="0.35">
      <c r="A1103" t="s">
        <v>1268</v>
      </c>
      <c r="B1103">
        <v>418</v>
      </c>
      <c r="C1103">
        <v>415</v>
      </c>
      <c r="D1103">
        <v>30</v>
      </c>
    </row>
    <row r="1104" spans="1:4" x14ac:dyDescent="0.35">
      <c r="A1104" t="s">
        <v>1269</v>
      </c>
      <c r="B1104">
        <v>242</v>
      </c>
      <c r="C1104">
        <v>232</v>
      </c>
      <c r="D1104">
        <v>9</v>
      </c>
    </row>
    <row r="1105" spans="1:4" x14ac:dyDescent="0.35">
      <c r="A1105" t="s">
        <v>1270</v>
      </c>
      <c r="B1105">
        <v>15</v>
      </c>
      <c r="C1105">
        <v>5</v>
      </c>
      <c r="D1105">
        <v>0</v>
      </c>
    </row>
    <row r="1106" spans="1:4" x14ac:dyDescent="0.35">
      <c r="A1106" t="s">
        <v>1271</v>
      </c>
      <c r="B1106">
        <v>811</v>
      </c>
      <c r="C1106">
        <v>707</v>
      </c>
      <c r="D1106">
        <v>108</v>
      </c>
    </row>
    <row r="1107" spans="1:4" x14ac:dyDescent="0.35">
      <c r="A1107" t="s">
        <v>1272</v>
      </c>
      <c r="B1107">
        <v>120</v>
      </c>
      <c r="C1107">
        <v>41</v>
      </c>
      <c r="D1107">
        <v>0</v>
      </c>
    </row>
    <row r="1108" spans="1:4" x14ac:dyDescent="0.35">
      <c r="A1108" t="s">
        <v>1273</v>
      </c>
      <c r="B1108">
        <v>20</v>
      </c>
      <c r="C1108">
        <v>9</v>
      </c>
      <c r="D1108">
        <v>0</v>
      </c>
    </row>
    <row r="1109" spans="1:4" x14ac:dyDescent="0.35">
      <c r="A1109" t="s">
        <v>1274</v>
      </c>
      <c r="B1109">
        <v>33</v>
      </c>
      <c r="C1109">
        <v>32</v>
      </c>
      <c r="D1109">
        <v>1676</v>
      </c>
    </row>
    <row r="1110" spans="1:4" x14ac:dyDescent="0.35">
      <c r="A1110" t="s">
        <v>1275</v>
      </c>
      <c r="B1110">
        <v>14</v>
      </c>
      <c r="C1110">
        <v>13</v>
      </c>
      <c r="D1110">
        <v>2496</v>
      </c>
    </row>
    <row r="1111" spans="1:4" x14ac:dyDescent="0.35">
      <c r="A1111" t="s">
        <v>1276</v>
      </c>
      <c r="B1111">
        <v>0</v>
      </c>
      <c r="C1111">
        <v>0</v>
      </c>
      <c r="D1111">
        <v>0</v>
      </c>
    </row>
    <row r="1112" spans="1:4" x14ac:dyDescent="0.35">
      <c r="A1112" t="s">
        <v>1277</v>
      </c>
      <c r="B1112">
        <v>0</v>
      </c>
      <c r="C1112">
        <v>0</v>
      </c>
      <c r="D1112">
        <v>0</v>
      </c>
    </row>
    <row r="1113" spans="1:4" x14ac:dyDescent="0.35">
      <c r="A1113" t="s">
        <v>1278</v>
      </c>
      <c r="B1113">
        <v>0</v>
      </c>
      <c r="C1113">
        <v>0</v>
      </c>
      <c r="D1113">
        <v>0</v>
      </c>
    </row>
    <row r="1114" spans="1:4" x14ac:dyDescent="0.35">
      <c r="A1114" t="s">
        <v>1279</v>
      </c>
      <c r="B1114">
        <v>0</v>
      </c>
      <c r="C1114">
        <v>0</v>
      </c>
      <c r="D1114">
        <v>0</v>
      </c>
    </row>
    <row r="1115" spans="1:4" x14ac:dyDescent="0.35">
      <c r="A1115" t="s">
        <v>1280</v>
      </c>
      <c r="B1115">
        <v>0</v>
      </c>
      <c r="C1115">
        <v>0</v>
      </c>
      <c r="D1115">
        <v>0</v>
      </c>
    </row>
    <row r="1116" spans="1:4" x14ac:dyDescent="0.35">
      <c r="A1116" t="s">
        <v>1281</v>
      </c>
      <c r="B1116">
        <v>0</v>
      </c>
      <c r="C1116">
        <v>0</v>
      </c>
      <c r="D1116">
        <v>0</v>
      </c>
    </row>
    <row r="1117" spans="1:4" x14ac:dyDescent="0.35">
      <c r="A1117" t="s">
        <v>1282</v>
      </c>
      <c r="B1117">
        <v>0</v>
      </c>
      <c r="C1117">
        <v>0</v>
      </c>
      <c r="D1117">
        <v>0</v>
      </c>
    </row>
    <row r="1118" spans="1:4" x14ac:dyDescent="0.35">
      <c r="A1118" t="s">
        <v>1283</v>
      </c>
      <c r="B1118">
        <v>0</v>
      </c>
      <c r="C1118">
        <v>0</v>
      </c>
      <c r="D1118">
        <v>0</v>
      </c>
    </row>
    <row r="1119" spans="1:4" x14ac:dyDescent="0.35">
      <c r="A1119" t="s">
        <v>1284</v>
      </c>
      <c r="B1119">
        <v>0</v>
      </c>
      <c r="C1119">
        <v>0</v>
      </c>
      <c r="D1119">
        <v>0</v>
      </c>
    </row>
    <row r="1120" spans="1:4" x14ac:dyDescent="0.35">
      <c r="A1120" t="s">
        <v>1285</v>
      </c>
      <c r="B1120">
        <v>96</v>
      </c>
      <c r="C1120">
        <v>94</v>
      </c>
      <c r="D1120">
        <v>226544</v>
      </c>
    </row>
    <row r="1121" spans="1:4" x14ac:dyDescent="0.35">
      <c r="A1121" t="s">
        <v>1286</v>
      </c>
      <c r="B1121">
        <v>269</v>
      </c>
      <c r="C1121">
        <v>263</v>
      </c>
      <c r="D1121">
        <v>44</v>
      </c>
    </row>
    <row r="1122" spans="1:4" x14ac:dyDescent="0.35">
      <c r="A1122" t="s">
        <v>1287</v>
      </c>
      <c r="B1122">
        <v>186</v>
      </c>
      <c r="C1122">
        <v>101</v>
      </c>
      <c r="D1122">
        <v>6</v>
      </c>
    </row>
    <row r="1123" spans="1:4" x14ac:dyDescent="0.35">
      <c r="A1123" t="s">
        <v>1288</v>
      </c>
      <c r="B1123">
        <v>3180</v>
      </c>
      <c r="C1123">
        <v>3180</v>
      </c>
      <c r="D1123">
        <v>663</v>
      </c>
    </row>
    <row r="1124" spans="1:4" x14ac:dyDescent="0.35">
      <c r="A1124" t="s">
        <v>1289</v>
      </c>
      <c r="B1124">
        <v>2680</v>
      </c>
      <c r="C1124">
        <v>2656</v>
      </c>
      <c r="D1124">
        <v>209</v>
      </c>
    </row>
    <row r="1125" spans="1:4" x14ac:dyDescent="0.35">
      <c r="A1125" t="s">
        <v>72</v>
      </c>
      <c r="B1125">
        <v>3399</v>
      </c>
      <c r="C1125">
        <v>3300</v>
      </c>
      <c r="D1125">
        <v>380</v>
      </c>
    </row>
    <row r="1126" spans="1:4" x14ac:dyDescent="0.35">
      <c r="A1126" t="s">
        <v>1290</v>
      </c>
      <c r="B1126">
        <v>210</v>
      </c>
      <c r="C1126">
        <v>196</v>
      </c>
      <c r="D1126">
        <v>907</v>
      </c>
    </row>
    <row r="1127" spans="1:4" x14ac:dyDescent="0.35">
      <c r="A1127" t="s">
        <v>147</v>
      </c>
      <c r="B1127">
        <v>100</v>
      </c>
      <c r="C1127">
        <v>100</v>
      </c>
      <c r="D1127">
        <v>0</v>
      </c>
    </row>
    <row r="1128" spans="1:4" x14ac:dyDescent="0.35">
      <c r="A1128" t="s">
        <v>1291</v>
      </c>
      <c r="B1128">
        <v>14873040</v>
      </c>
      <c r="C1128">
        <v>14446232</v>
      </c>
      <c r="D1128">
        <v>4</v>
      </c>
    </row>
    <row r="1129" spans="1:4" x14ac:dyDescent="0.35">
      <c r="A1129" t="s">
        <v>1292</v>
      </c>
      <c r="B1129">
        <v>8000</v>
      </c>
      <c r="C1129">
        <v>1234</v>
      </c>
      <c r="D1129">
        <v>1</v>
      </c>
    </row>
    <row r="1130" spans="1:4" x14ac:dyDescent="0.35">
      <c r="A1130" t="s">
        <v>1293</v>
      </c>
      <c r="B1130">
        <v>2500</v>
      </c>
      <c r="C1130">
        <v>1861</v>
      </c>
      <c r="D1130">
        <v>6</v>
      </c>
    </row>
    <row r="1131" spans="1:4" x14ac:dyDescent="0.35">
      <c r="A1131" t="s">
        <v>1294</v>
      </c>
      <c r="B1131">
        <v>329</v>
      </c>
      <c r="C1131">
        <v>329</v>
      </c>
      <c r="D1131">
        <v>1</v>
      </c>
    </row>
    <row r="1132" spans="1:4" x14ac:dyDescent="0.35">
      <c r="A1132" t="s">
        <v>1295</v>
      </c>
      <c r="B1132">
        <v>352</v>
      </c>
      <c r="C1132">
        <v>125</v>
      </c>
      <c r="D1132">
        <v>10</v>
      </c>
    </row>
    <row r="1133" spans="1:4" x14ac:dyDescent="0.35">
      <c r="A1133" t="s">
        <v>1296</v>
      </c>
      <c r="B1133">
        <v>2800</v>
      </c>
      <c r="C1133">
        <v>3500</v>
      </c>
      <c r="D1133">
        <v>2</v>
      </c>
    </row>
    <row r="1134" spans="1:4" x14ac:dyDescent="0.35">
      <c r="A1134" t="s">
        <v>1297</v>
      </c>
      <c r="B1134">
        <v>4999</v>
      </c>
      <c r="C1134">
        <v>3102</v>
      </c>
      <c r="D1134">
        <v>2</v>
      </c>
    </row>
    <row r="1135" spans="1:4" x14ac:dyDescent="0.35">
      <c r="A1135" t="s">
        <v>1298</v>
      </c>
      <c r="B1135">
        <v>4999</v>
      </c>
      <c r="C1135">
        <v>2286</v>
      </c>
      <c r="D1135">
        <v>0</v>
      </c>
    </row>
    <row r="1136" spans="1:4" x14ac:dyDescent="0.35">
      <c r="A1136" t="s">
        <v>1299</v>
      </c>
      <c r="B1136">
        <v>500</v>
      </c>
      <c r="C1136">
        <v>329</v>
      </c>
      <c r="D1136">
        <v>8</v>
      </c>
    </row>
    <row r="1137" spans="1:4" x14ac:dyDescent="0.35">
      <c r="A1137" t="s">
        <v>1300</v>
      </c>
      <c r="B1137">
        <v>290</v>
      </c>
      <c r="C1137">
        <v>342</v>
      </c>
      <c r="D1137">
        <v>42</v>
      </c>
    </row>
    <row r="1138" spans="1:4" x14ac:dyDescent="0.35">
      <c r="A1138" t="s">
        <v>1301</v>
      </c>
      <c r="B1138">
        <v>2811</v>
      </c>
      <c r="C1138">
        <v>835</v>
      </c>
      <c r="D1138">
        <v>9</v>
      </c>
    </row>
    <row r="1139" spans="1:4" x14ac:dyDescent="0.35">
      <c r="A1139" t="s">
        <v>1302</v>
      </c>
      <c r="B1139">
        <v>81</v>
      </c>
      <c r="C1139">
        <v>81</v>
      </c>
      <c r="D1139">
        <v>2</v>
      </c>
    </row>
    <row r="1140" spans="1:4" x14ac:dyDescent="0.35">
      <c r="A1140" t="s">
        <v>1303</v>
      </c>
      <c r="B1140">
        <v>289</v>
      </c>
      <c r="C1140">
        <v>281</v>
      </c>
      <c r="D1140">
        <v>2</v>
      </c>
    </row>
    <row r="1141" spans="1:4" x14ac:dyDescent="0.35">
      <c r="A1141" t="s">
        <v>126</v>
      </c>
      <c r="B1141">
        <v>5108</v>
      </c>
      <c r="C1141">
        <v>4958</v>
      </c>
      <c r="D1141">
        <v>48274</v>
      </c>
    </row>
    <row r="1142" spans="1:4" x14ac:dyDescent="0.35">
      <c r="A1142" t="s">
        <v>112</v>
      </c>
      <c r="B1142">
        <v>25495</v>
      </c>
      <c r="C1142">
        <v>25100</v>
      </c>
      <c r="D1142">
        <v>0</v>
      </c>
    </row>
    <row r="1143" spans="1:4" x14ac:dyDescent="0.35">
      <c r="A1143" t="s">
        <v>1304</v>
      </c>
      <c r="B1143">
        <v>0</v>
      </c>
      <c r="C1143">
        <v>0</v>
      </c>
      <c r="D1143">
        <v>0</v>
      </c>
    </row>
    <row r="1144" spans="1:4" x14ac:dyDescent="0.35">
      <c r="A1144" t="s">
        <v>1305</v>
      </c>
      <c r="B1144">
        <v>0</v>
      </c>
      <c r="C1144">
        <v>0</v>
      </c>
      <c r="D1144">
        <v>0</v>
      </c>
    </row>
    <row r="1145" spans="1:4" x14ac:dyDescent="0.35">
      <c r="A1145" t="s">
        <v>1306</v>
      </c>
      <c r="B1145">
        <v>8259089</v>
      </c>
      <c r="C1145">
        <v>8038942</v>
      </c>
      <c r="D1145">
        <v>84</v>
      </c>
    </row>
    <row r="1146" spans="1:4" x14ac:dyDescent="0.35">
      <c r="A1146" t="s">
        <v>1307</v>
      </c>
      <c r="B1146">
        <v>0</v>
      </c>
      <c r="C1146">
        <v>0</v>
      </c>
      <c r="D1146">
        <v>0</v>
      </c>
    </row>
    <row r="1147" spans="1:4" x14ac:dyDescent="0.35">
      <c r="A1147" t="s">
        <v>1308</v>
      </c>
      <c r="B1147">
        <v>397535</v>
      </c>
      <c r="C1147">
        <v>324666</v>
      </c>
      <c r="D1147">
        <v>3</v>
      </c>
    </row>
    <row r="1148" spans="1:4" x14ac:dyDescent="0.35">
      <c r="A1148" t="s">
        <v>1309</v>
      </c>
      <c r="B1148">
        <v>23675</v>
      </c>
      <c r="C1148">
        <v>22622</v>
      </c>
      <c r="D1148">
        <v>1965</v>
      </c>
    </row>
    <row r="1149" spans="1:4" x14ac:dyDescent="0.35">
      <c r="A1149" t="s">
        <v>1310</v>
      </c>
      <c r="B1149">
        <v>0</v>
      </c>
      <c r="C1149">
        <v>0</v>
      </c>
      <c r="D1149">
        <v>0</v>
      </c>
    </row>
    <row r="1150" spans="1:4" x14ac:dyDescent="0.35">
      <c r="A1150" t="s">
        <v>1311</v>
      </c>
      <c r="B1150">
        <v>22999999</v>
      </c>
      <c r="C1150">
        <v>22287954</v>
      </c>
      <c r="D1150">
        <v>11</v>
      </c>
    </row>
    <row r="1151" spans="1:4" x14ac:dyDescent="0.35">
      <c r="A1151" t="s">
        <v>1312</v>
      </c>
      <c r="B1151">
        <v>405628</v>
      </c>
      <c r="C1151">
        <v>392001</v>
      </c>
      <c r="D1151">
        <v>22</v>
      </c>
    </row>
    <row r="1152" spans="1:4" x14ac:dyDescent="0.35">
      <c r="A1152" t="s">
        <v>1313</v>
      </c>
      <c r="B1152">
        <v>513</v>
      </c>
      <c r="C1152">
        <v>513</v>
      </c>
      <c r="D1152">
        <v>108</v>
      </c>
    </row>
    <row r="1153" spans="1:4" x14ac:dyDescent="0.35">
      <c r="A1153" t="s">
        <v>1314</v>
      </c>
      <c r="B1153">
        <v>82</v>
      </c>
      <c r="C1153">
        <v>81</v>
      </c>
      <c r="D1153">
        <v>73</v>
      </c>
    </row>
    <row r="1154" spans="1:4" x14ac:dyDescent="0.35">
      <c r="A1154" t="s">
        <v>1315</v>
      </c>
      <c r="B1154">
        <v>3000</v>
      </c>
      <c r="C1154">
        <v>48</v>
      </c>
      <c r="D1154">
        <v>0</v>
      </c>
    </row>
    <row r="1155" spans="1:4" x14ac:dyDescent="0.35">
      <c r="A1155" t="s">
        <v>1316</v>
      </c>
      <c r="B1155">
        <v>2250</v>
      </c>
      <c r="C1155">
        <v>2250</v>
      </c>
      <c r="D1155">
        <v>384</v>
      </c>
    </row>
    <row r="1156" spans="1:4" x14ac:dyDescent="0.35">
      <c r="A1156" t="s">
        <v>1317</v>
      </c>
      <c r="B1156">
        <v>1010</v>
      </c>
      <c r="C1156">
        <v>1010</v>
      </c>
      <c r="D1156">
        <v>0</v>
      </c>
    </row>
    <row r="1157" spans="1:4" x14ac:dyDescent="0.35">
      <c r="A1157" t="s">
        <v>1318</v>
      </c>
      <c r="B1157">
        <v>445</v>
      </c>
      <c r="C1157">
        <v>375</v>
      </c>
      <c r="D1157">
        <v>688</v>
      </c>
    </row>
    <row r="1158" spans="1:4" x14ac:dyDescent="0.35">
      <c r="A1158" t="s">
        <v>1319</v>
      </c>
      <c r="B1158">
        <v>64</v>
      </c>
      <c r="C1158">
        <v>60</v>
      </c>
      <c r="D1158">
        <v>3507</v>
      </c>
    </row>
    <row r="1159" spans="1:4" x14ac:dyDescent="0.35">
      <c r="A1159" t="s">
        <v>1320</v>
      </c>
      <c r="B1159">
        <v>333</v>
      </c>
      <c r="C1159">
        <v>241</v>
      </c>
      <c r="D1159">
        <v>252</v>
      </c>
    </row>
    <row r="1160" spans="1:4" x14ac:dyDescent="0.35">
      <c r="A1160" t="s">
        <v>1321</v>
      </c>
      <c r="B1160">
        <v>40</v>
      </c>
      <c r="C1160">
        <v>10</v>
      </c>
      <c r="D1160">
        <v>792</v>
      </c>
    </row>
    <row r="1161" spans="1:4" x14ac:dyDescent="0.35">
      <c r="A1161" t="s">
        <v>1322</v>
      </c>
      <c r="B1161">
        <v>15505</v>
      </c>
      <c r="C1161">
        <v>13512</v>
      </c>
      <c r="D1161">
        <v>14</v>
      </c>
    </row>
    <row r="1162" spans="1:4" x14ac:dyDescent="0.35">
      <c r="A1162" t="s">
        <v>1323</v>
      </c>
      <c r="B1162">
        <v>9990</v>
      </c>
      <c r="C1162">
        <v>7012</v>
      </c>
      <c r="D1162">
        <v>3</v>
      </c>
    </row>
    <row r="1163" spans="1:4" x14ac:dyDescent="0.35">
      <c r="A1163" t="s">
        <v>1324</v>
      </c>
      <c r="B1163">
        <v>14068</v>
      </c>
      <c r="C1163">
        <v>13810</v>
      </c>
      <c r="D1163">
        <v>1195</v>
      </c>
    </row>
    <row r="1164" spans="1:4" x14ac:dyDescent="0.35">
      <c r="A1164" t="s">
        <v>1325</v>
      </c>
      <c r="B1164">
        <v>175</v>
      </c>
      <c r="C1164">
        <v>350</v>
      </c>
      <c r="D1164">
        <v>4</v>
      </c>
    </row>
    <row r="1165" spans="1:4" x14ac:dyDescent="0.35">
      <c r="A1165" t="s">
        <v>1326</v>
      </c>
      <c r="B1165">
        <v>248171</v>
      </c>
      <c r="C1165">
        <v>243111</v>
      </c>
      <c r="D1165">
        <v>4</v>
      </c>
    </row>
    <row r="1166" spans="1:4" x14ac:dyDescent="0.35">
      <c r="A1166" t="s">
        <v>1327</v>
      </c>
      <c r="B1166">
        <v>354651</v>
      </c>
      <c r="C1166">
        <v>323000</v>
      </c>
      <c r="D1166">
        <v>5</v>
      </c>
    </row>
    <row r="1167" spans="1:4" x14ac:dyDescent="0.35">
      <c r="A1167" t="s">
        <v>1328</v>
      </c>
      <c r="B1167">
        <v>489014</v>
      </c>
      <c r="C1167">
        <v>452120</v>
      </c>
      <c r="D1167">
        <v>11</v>
      </c>
    </row>
    <row r="1168" spans="1:4" x14ac:dyDescent="0.35">
      <c r="A1168" t="s">
        <v>1329</v>
      </c>
      <c r="B1168">
        <v>1120000</v>
      </c>
      <c r="C1168">
        <v>1068524</v>
      </c>
      <c r="D1168">
        <v>4</v>
      </c>
    </row>
    <row r="1169" spans="1:4" x14ac:dyDescent="0.35">
      <c r="A1169" t="s">
        <v>1330</v>
      </c>
      <c r="B1169">
        <v>78</v>
      </c>
      <c r="C1169">
        <v>69</v>
      </c>
      <c r="D1169">
        <v>0</v>
      </c>
    </row>
    <row r="1170" spans="1:4" x14ac:dyDescent="0.35">
      <c r="A1170" t="s">
        <v>1331</v>
      </c>
      <c r="B1170">
        <v>444</v>
      </c>
      <c r="C1170">
        <v>438</v>
      </c>
      <c r="D1170">
        <v>24</v>
      </c>
    </row>
    <row r="1171" spans="1:4" x14ac:dyDescent="0.35">
      <c r="A1171" t="s">
        <v>1332</v>
      </c>
      <c r="B1171">
        <v>1021370</v>
      </c>
      <c r="C1171">
        <v>977456</v>
      </c>
      <c r="D1171">
        <v>31</v>
      </c>
    </row>
    <row r="1172" spans="1:4" x14ac:dyDescent="0.35">
      <c r="A1172" t="s">
        <v>1333</v>
      </c>
      <c r="B1172">
        <v>824995</v>
      </c>
      <c r="C1172">
        <v>285443</v>
      </c>
      <c r="D1172">
        <v>0</v>
      </c>
    </row>
    <row r="1173" spans="1:4" x14ac:dyDescent="0.35">
      <c r="A1173" t="s">
        <v>1334</v>
      </c>
      <c r="B1173">
        <v>5000</v>
      </c>
      <c r="C1173">
        <v>4859</v>
      </c>
      <c r="D1173">
        <v>4</v>
      </c>
    </row>
    <row r="1174" spans="1:4" x14ac:dyDescent="0.35">
      <c r="A1174" t="s">
        <v>1335</v>
      </c>
      <c r="B1174">
        <v>1556</v>
      </c>
      <c r="C1174">
        <v>1501</v>
      </c>
      <c r="D1174">
        <v>14593</v>
      </c>
    </row>
    <row r="1175" spans="1:4" x14ac:dyDescent="0.35">
      <c r="A1175" t="s">
        <v>1336</v>
      </c>
      <c r="B1175">
        <v>5</v>
      </c>
      <c r="C1175">
        <v>5</v>
      </c>
      <c r="D1175">
        <v>11592</v>
      </c>
    </row>
    <row r="1176" spans="1:4" x14ac:dyDescent="0.35">
      <c r="A1176" t="s">
        <v>1337</v>
      </c>
      <c r="B1176">
        <v>30687</v>
      </c>
      <c r="C1176">
        <v>28001</v>
      </c>
      <c r="D1176">
        <v>0</v>
      </c>
    </row>
    <row r="1177" spans="1:4" x14ac:dyDescent="0.35">
      <c r="A1177" t="s">
        <v>1338</v>
      </c>
      <c r="B1177">
        <v>4</v>
      </c>
      <c r="C1177">
        <v>4</v>
      </c>
      <c r="D1177">
        <v>15</v>
      </c>
    </row>
    <row r="1178" spans="1:4" x14ac:dyDescent="0.35">
      <c r="A1178" t="s">
        <v>1339</v>
      </c>
      <c r="B1178">
        <v>895860</v>
      </c>
      <c r="C1178">
        <v>650000</v>
      </c>
      <c r="D1178">
        <v>0</v>
      </c>
    </row>
    <row r="1179" spans="1:4" x14ac:dyDescent="0.35">
      <c r="A1179" t="s">
        <v>1340</v>
      </c>
      <c r="B1179">
        <v>276350</v>
      </c>
      <c r="C1179">
        <v>395722</v>
      </c>
      <c r="D1179">
        <v>0</v>
      </c>
    </row>
    <row r="1180" spans="1:4" x14ac:dyDescent="0.35">
      <c r="A1180" t="s">
        <v>1341</v>
      </c>
      <c r="B1180">
        <v>1559052</v>
      </c>
      <c r="C1180">
        <v>1293443</v>
      </c>
      <c r="D1180">
        <v>0</v>
      </c>
    </row>
    <row r="1181" spans="1:4" x14ac:dyDescent="0.35">
      <c r="A1181" t="s">
        <v>1342</v>
      </c>
      <c r="B1181">
        <v>847014</v>
      </c>
      <c r="C1181">
        <v>600000</v>
      </c>
      <c r="D1181">
        <v>2</v>
      </c>
    </row>
    <row r="1182" spans="1:4" x14ac:dyDescent="0.35">
      <c r="A1182" t="s">
        <v>1343</v>
      </c>
      <c r="B1182">
        <v>51</v>
      </c>
      <c r="C1182">
        <v>50</v>
      </c>
      <c r="D1182">
        <v>10</v>
      </c>
    </row>
    <row r="1183" spans="1:4" x14ac:dyDescent="0.35">
      <c r="A1183" t="s">
        <v>1344</v>
      </c>
      <c r="B1183">
        <v>177</v>
      </c>
      <c r="C1183">
        <v>173</v>
      </c>
      <c r="D1183">
        <v>1543093</v>
      </c>
    </row>
    <row r="1184" spans="1:4" x14ac:dyDescent="0.35">
      <c r="A1184" t="s">
        <v>1345</v>
      </c>
      <c r="B1184">
        <v>2349</v>
      </c>
      <c r="C1184">
        <v>2310</v>
      </c>
      <c r="D1184">
        <v>26</v>
      </c>
    </row>
    <row r="1185" spans="1:4" x14ac:dyDescent="0.35">
      <c r="A1185" t="s">
        <v>1346</v>
      </c>
      <c r="B1185">
        <v>2749</v>
      </c>
      <c r="C1185">
        <v>2692</v>
      </c>
      <c r="D1185">
        <v>4</v>
      </c>
    </row>
    <row r="1186" spans="1:4" x14ac:dyDescent="0.35">
      <c r="A1186" t="s">
        <v>1347</v>
      </c>
      <c r="B1186">
        <v>14972</v>
      </c>
      <c r="C1186">
        <v>5007</v>
      </c>
      <c r="D1186">
        <v>1</v>
      </c>
    </row>
    <row r="1187" spans="1:4" x14ac:dyDescent="0.35">
      <c r="A1187" t="s">
        <v>1348</v>
      </c>
      <c r="B1187">
        <v>2500</v>
      </c>
      <c r="C1187">
        <v>231</v>
      </c>
      <c r="D1187">
        <v>0</v>
      </c>
    </row>
    <row r="1188" spans="1:4" x14ac:dyDescent="0.35">
      <c r="A1188" t="s">
        <v>1349</v>
      </c>
      <c r="B1188">
        <v>100000</v>
      </c>
      <c r="C1188">
        <v>100</v>
      </c>
      <c r="D1188">
        <v>0</v>
      </c>
    </row>
    <row r="1189" spans="1:4" x14ac:dyDescent="0.35">
      <c r="A1189" t="s">
        <v>1350</v>
      </c>
      <c r="B1189">
        <v>50</v>
      </c>
      <c r="C1189">
        <v>30</v>
      </c>
      <c r="D1189">
        <v>0</v>
      </c>
    </row>
    <row r="1190" spans="1:4" x14ac:dyDescent="0.35">
      <c r="A1190" t="s">
        <v>1351</v>
      </c>
      <c r="B1190">
        <v>186</v>
      </c>
      <c r="C1190">
        <v>121</v>
      </c>
      <c r="D1190">
        <v>2</v>
      </c>
    </row>
    <row r="1191" spans="1:4" x14ac:dyDescent="0.35">
      <c r="A1191" t="s">
        <v>1352</v>
      </c>
      <c r="B1191">
        <v>750</v>
      </c>
      <c r="C1191">
        <v>405</v>
      </c>
      <c r="D1191">
        <v>81</v>
      </c>
    </row>
    <row r="1192" spans="1:4" x14ac:dyDescent="0.35">
      <c r="A1192" t="s">
        <v>1353</v>
      </c>
      <c r="B1192">
        <v>491</v>
      </c>
      <c r="C1192">
        <v>451</v>
      </c>
      <c r="D1192">
        <v>7</v>
      </c>
    </row>
    <row r="1193" spans="1:4" x14ac:dyDescent="0.35">
      <c r="A1193" t="s">
        <v>1354</v>
      </c>
      <c r="B1193">
        <v>62706</v>
      </c>
      <c r="C1193">
        <v>60000</v>
      </c>
      <c r="D1193">
        <v>7</v>
      </c>
    </row>
    <row r="1194" spans="1:4" x14ac:dyDescent="0.35">
      <c r="A1194" t="s">
        <v>1355</v>
      </c>
      <c r="B1194">
        <v>411</v>
      </c>
      <c r="C1194">
        <v>401</v>
      </c>
      <c r="D1194">
        <v>400046</v>
      </c>
    </row>
    <row r="1195" spans="1:4" x14ac:dyDescent="0.35">
      <c r="A1195" t="s">
        <v>1356</v>
      </c>
      <c r="B1195">
        <v>230</v>
      </c>
      <c r="C1195">
        <v>230</v>
      </c>
      <c r="D1195">
        <v>2035</v>
      </c>
    </row>
    <row r="1196" spans="1:4" x14ac:dyDescent="0.35">
      <c r="A1196" t="s">
        <v>1357</v>
      </c>
      <c r="B1196">
        <v>293</v>
      </c>
      <c r="C1196">
        <v>101</v>
      </c>
      <c r="D1196">
        <v>10</v>
      </c>
    </row>
    <row r="1197" spans="1:4" x14ac:dyDescent="0.35">
      <c r="A1197" t="s">
        <v>1358</v>
      </c>
      <c r="B1197">
        <v>5999</v>
      </c>
      <c r="C1197">
        <v>4506</v>
      </c>
      <c r="D1197">
        <v>1</v>
      </c>
    </row>
    <row r="1198" spans="1:4" x14ac:dyDescent="0.35">
      <c r="A1198" t="s">
        <v>1359</v>
      </c>
      <c r="B1198">
        <v>0</v>
      </c>
      <c r="C1198">
        <v>0</v>
      </c>
      <c r="D1198">
        <v>0</v>
      </c>
    </row>
    <row r="1199" spans="1:4" x14ac:dyDescent="0.35">
      <c r="A1199" t="s">
        <v>1360</v>
      </c>
      <c r="B1199">
        <v>347534</v>
      </c>
      <c r="C1199">
        <v>5209</v>
      </c>
      <c r="D1199">
        <v>0</v>
      </c>
    </row>
    <row r="1200" spans="1:4" x14ac:dyDescent="0.35">
      <c r="A1200" t="s">
        <v>1361</v>
      </c>
      <c r="B1200">
        <v>0</v>
      </c>
      <c r="C1200">
        <v>0</v>
      </c>
      <c r="D1200">
        <v>0</v>
      </c>
    </row>
    <row r="1201" spans="1:4" x14ac:dyDescent="0.35">
      <c r="A1201" t="s">
        <v>1362</v>
      </c>
      <c r="B1201">
        <v>1231</v>
      </c>
      <c r="C1201">
        <v>463</v>
      </c>
      <c r="D1201">
        <v>0</v>
      </c>
    </row>
    <row r="1202" spans="1:4" x14ac:dyDescent="0.35">
      <c r="A1202" t="s">
        <v>1363</v>
      </c>
      <c r="B1202">
        <v>60</v>
      </c>
      <c r="C1202">
        <v>35</v>
      </c>
      <c r="D1202">
        <v>1672</v>
      </c>
    </row>
    <row r="1203" spans="1:4" x14ac:dyDescent="0.35">
      <c r="A1203" t="s">
        <v>1364</v>
      </c>
      <c r="B1203">
        <v>704</v>
      </c>
      <c r="C1203">
        <v>2080</v>
      </c>
      <c r="D1203">
        <v>0</v>
      </c>
    </row>
    <row r="1204" spans="1:4" x14ac:dyDescent="0.35">
      <c r="A1204" t="s">
        <v>1365</v>
      </c>
      <c r="B1204">
        <v>368</v>
      </c>
      <c r="C1204">
        <v>368</v>
      </c>
      <c r="D1204">
        <v>25</v>
      </c>
    </row>
    <row r="1205" spans="1:4" x14ac:dyDescent="0.35">
      <c r="A1205" t="s">
        <v>1366</v>
      </c>
      <c r="B1205">
        <v>100000</v>
      </c>
      <c r="C1205">
        <v>2937</v>
      </c>
      <c r="D1205">
        <v>0</v>
      </c>
    </row>
    <row r="1206" spans="1:4" x14ac:dyDescent="0.35">
      <c r="A1206" t="s">
        <v>1367</v>
      </c>
      <c r="B1206">
        <v>409</v>
      </c>
      <c r="C1206">
        <v>409</v>
      </c>
      <c r="D1206">
        <v>25</v>
      </c>
    </row>
    <row r="1207" spans="1:4" x14ac:dyDescent="0.35">
      <c r="A1207" t="s">
        <v>1368</v>
      </c>
      <c r="B1207">
        <v>66900</v>
      </c>
      <c r="C1207">
        <v>1320</v>
      </c>
      <c r="D1207">
        <v>0</v>
      </c>
    </row>
    <row r="1208" spans="1:4" x14ac:dyDescent="0.35">
      <c r="A1208" t="s">
        <v>1369</v>
      </c>
      <c r="B1208">
        <v>600</v>
      </c>
      <c r="C1208">
        <v>111</v>
      </c>
      <c r="D1208">
        <v>0</v>
      </c>
    </row>
    <row r="1209" spans="1:4" x14ac:dyDescent="0.35">
      <c r="A1209" t="s">
        <v>1370</v>
      </c>
      <c r="B1209">
        <v>815825</v>
      </c>
      <c r="C1209">
        <v>774405</v>
      </c>
      <c r="D1209">
        <v>13</v>
      </c>
    </row>
    <row r="1210" spans="1:4" x14ac:dyDescent="0.35">
      <c r="A1210" t="s">
        <v>1371</v>
      </c>
      <c r="B1210">
        <v>23379731</v>
      </c>
      <c r="C1210">
        <v>22593423</v>
      </c>
      <c r="D1210">
        <v>13</v>
      </c>
    </row>
    <row r="1211" spans="1:4" x14ac:dyDescent="0.35">
      <c r="A1211" t="s">
        <v>1372</v>
      </c>
      <c r="B1211">
        <v>4118999</v>
      </c>
      <c r="C1211">
        <v>4118999</v>
      </c>
      <c r="D1211">
        <v>44</v>
      </c>
    </row>
    <row r="1212" spans="1:4" x14ac:dyDescent="0.35">
      <c r="A1212" t="s">
        <v>1373</v>
      </c>
      <c r="B1212">
        <v>1860000</v>
      </c>
      <c r="C1212">
        <v>1855675</v>
      </c>
      <c r="D1212">
        <v>42</v>
      </c>
    </row>
    <row r="1213" spans="1:4" x14ac:dyDescent="0.35">
      <c r="A1213" t="s">
        <v>1374</v>
      </c>
      <c r="B1213">
        <v>1804457</v>
      </c>
      <c r="C1213">
        <v>1846000</v>
      </c>
      <c r="D1213">
        <v>2</v>
      </c>
    </row>
    <row r="1214" spans="1:4" x14ac:dyDescent="0.35">
      <c r="A1214" t="s">
        <v>1375</v>
      </c>
      <c r="B1214">
        <v>336528</v>
      </c>
      <c r="C1214">
        <v>336000</v>
      </c>
      <c r="D1214">
        <v>11</v>
      </c>
    </row>
    <row r="1215" spans="1:4" x14ac:dyDescent="0.35">
      <c r="A1215" t="s">
        <v>1376</v>
      </c>
      <c r="B1215">
        <v>310443</v>
      </c>
      <c r="C1215">
        <v>295662</v>
      </c>
      <c r="D1215">
        <v>7</v>
      </c>
    </row>
    <row r="1216" spans="1:4" x14ac:dyDescent="0.35">
      <c r="A1216" t="s">
        <v>1377</v>
      </c>
      <c r="B1216">
        <v>952563</v>
      </c>
      <c r="C1216">
        <v>898505</v>
      </c>
      <c r="D1216">
        <v>15</v>
      </c>
    </row>
    <row r="1217" spans="1:4" x14ac:dyDescent="0.35">
      <c r="A1217" t="s">
        <v>1378</v>
      </c>
      <c r="B1217">
        <v>871861</v>
      </c>
      <c r="C1217">
        <v>890001</v>
      </c>
      <c r="D1217">
        <v>6</v>
      </c>
    </row>
    <row r="1218" spans="1:4" x14ac:dyDescent="0.35">
      <c r="A1218" t="s">
        <v>1379</v>
      </c>
      <c r="B1218">
        <v>886579</v>
      </c>
      <c r="C1218">
        <v>844790</v>
      </c>
      <c r="D1218">
        <v>17</v>
      </c>
    </row>
    <row r="1219" spans="1:4" x14ac:dyDescent="0.35">
      <c r="A1219" t="s">
        <v>1380</v>
      </c>
      <c r="B1219">
        <v>997000</v>
      </c>
      <c r="C1219">
        <v>805859</v>
      </c>
      <c r="D1219">
        <v>8</v>
      </c>
    </row>
    <row r="1220" spans="1:4" x14ac:dyDescent="0.35">
      <c r="A1220" t="s">
        <v>1381</v>
      </c>
      <c r="B1220">
        <v>2058</v>
      </c>
      <c r="C1220">
        <v>1980</v>
      </c>
      <c r="D1220">
        <v>5755</v>
      </c>
    </row>
    <row r="1221" spans="1:4" x14ac:dyDescent="0.35">
      <c r="A1221" t="s">
        <v>1382</v>
      </c>
      <c r="B1221">
        <v>1769</v>
      </c>
      <c r="C1221">
        <v>1749</v>
      </c>
      <c r="D1221">
        <v>35783</v>
      </c>
    </row>
    <row r="1222" spans="1:4" x14ac:dyDescent="0.35">
      <c r="A1222" t="s">
        <v>1383</v>
      </c>
      <c r="B1222">
        <v>2039</v>
      </c>
      <c r="C1222">
        <v>2005</v>
      </c>
      <c r="D1222">
        <v>6191</v>
      </c>
    </row>
    <row r="1223" spans="1:4" x14ac:dyDescent="0.35">
      <c r="A1223" t="s">
        <v>1384</v>
      </c>
      <c r="B1223">
        <v>1976</v>
      </c>
      <c r="C1223">
        <v>1976</v>
      </c>
      <c r="D1223">
        <v>300</v>
      </c>
    </row>
    <row r="1224" spans="1:4" x14ac:dyDescent="0.35">
      <c r="A1224" t="s">
        <v>1385</v>
      </c>
      <c r="B1224">
        <v>171</v>
      </c>
      <c r="C1224">
        <v>180</v>
      </c>
      <c r="D1224">
        <v>32460</v>
      </c>
    </row>
    <row r="1225" spans="1:4" x14ac:dyDescent="0.35">
      <c r="A1225" t="s">
        <v>1386</v>
      </c>
      <c r="B1225">
        <v>377</v>
      </c>
      <c r="C1225">
        <v>375</v>
      </c>
      <c r="D1225">
        <v>110728</v>
      </c>
    </row>
    <row r="1226" spans="1:4" x14ac:dyDescent="0.35">
      <c r="A1226" t="s">
        <v>1387</v>
      </c>
      <c r="B1226">
        <v>184</v>
      </c>
      <c r="C1226">
        <v>179</v>
      </c>
      <c r="D1226">
        <v>86260</v>
      </c>
    </row>
    <row r="1227" spans="1:4" x14ac:dyDescent="0.35">
      <c r="A1227" t="s">
        <v>1388</v>
      </c>
      <c r="B1227">
        <v>2013</v>
      </c>
      <c r="C1227">
        <v>1989</v>
      </c>
      <c r="D1227">
        <v>796</v>
      </c>
    </row>
    <row r="1228" spans="1:4" x14ac:dyDescent="0.35">
      <c r="A1228" t="s">
        <v>1389</v>
      </c>
      <c r="B1228">
        <v>3189</v>
      </c>
      <c r="C1228">
        <v>3101</v>
      </c>
      <c r="D1228">
        <v>17130</v>
      </c>
    </row>
    <row r="1229" spans="1:4" x14ac:dyDescent="0.35">
      <c r="A1229" t="s">
        <v>1390</v>
      </c>
      <c r="B1229">
        <v>3080</v>
      </c>
      <c r="C1229">
        <v>3003</v>
      </c>
      <c r="D1229">
        <v>41661</v>
      </c>
    </row>
    <row r="1230" spans="1:4" x14ac:dyDescent="0.35">
      <c r="A1230" t="s">
        <v>1391</v>
      </c>
      <c r="B1230">
        <v>2091</v>
      </c>
      <c r="C1230">
        <v>2093</v>
      </c>
      <c r="D1230">
        <v>11366</v>
      </c>
    </row>
    <row r="1231" spans="1:4" x14ac:dyDescent="0.35">
      <c r="A1231" t="s">
        <v>1392</v>
      </c>
      <c r="B1231">
        <v>2020</v>
      </c>
      <c r="C1231">
        <v>2001</v>
      </c>
      <c r="D1231">
        <v>114</v>
      </c>
    </row>
    <row r="1232" spans="1:4" x14ac:dyDescent="0.35">
      <c r="A1232" t="s">
        <v>1393</v>
      </c>
      <c r="B1232">
        <v>8919</v>
      </c>
      <c r="C1232">
        <v>8438</v>
      </c>
      <c r="D1232">
        <v>384</v>
      </c>
    </row>
    <row r="1233" spans="1:4" x14ac:dyDescent="0.35">
      <c r="A1233" t="s">
        <v>1394</v>
      </c>
      <c r="B1233">
        <v>14841871</v>
      </c>
      <c r="C1233">
        <v>14382905</v>
      </c>
      <c r="D1233">
        <v>22</v>
      </c>
    </row>
    <row r="1234" spans="1:4" x14ac:dyDescent="0.35">
      <c r="A1234" t="s">
        <v>1395</v>
      </c>
      <c r="B1234">
        <v>16898</v>
      </c>
      <c r="C1234">
        <v>14075</v>
      </c>
      <c r="D1234">
        <v>0</v>
      </c>
    </row>
    <row r="1235" spans="1:4" x14ac:dyDescent="0.35">
      <c r="A1235" t="s">
        <v>1396</v>
      </c>
      <c r="B1235">
        <v>7050</v>
      </c>
      <c r="C1235">
        <v>5855</v>
      </c>
      <c r="D1235">
        <v>0</v>
      </c>
    </row>
    <row r="1236" spans="1:4" x14ac:dyDescent="0.35">
      <c r="A1236" t="s">
        <v>1397</v>
      </c>
      <c r="B1236">
        <v>12025</v>
      </c>
      <c r="C1236">
        <v>12025</v>
      </c>
      <c r="D1236">
        <v>2</v>
      </c>
    </row>
    <row r="1237" spans="1:4" x14ac:dyDescent="0.35">
      <c r="A1237" t="s">
        <v>1398</v>
      </c>
      <c r="B1237">
        <v>17107</v>
      </c>
      <c r="C1237">
        <v>11444</v>
      </c>
      <c r="D1237">
        <v>104</v>
      </c>
    </row>
    <row r="1238" spans="1:4" x14ac:dyDescent="0.35">
      <c r="A1238" t="s">
        <v>32</v>
      </c>
      <c r="B1238">
        <v>24808</v>
      </c>
      <c r="C1238">
        <v>24400</v>
      </c>
      <c r="D1238">
        <v>937</v>
      </c>
    </row>
    <row r="1239" spans="1:4" x14ac:dyDescent="0.35">
      <c r="A1239" t="s">
        <v>1399</v>
      </c>
      <c r="B1239">
        <v>4641</v>
      </c>
      <c r="C1239">
        <v>4001</v>
      </c>
      <c r="D1239">
        <v>0</v>
      </c>
    </row>
    <row r="1240" spans="1:4" x14ac:dyDescent="0.35">
      <c r="A1240" t="s">
        <v>1400</v>
      </c>
      <c r="B1240">
        <v>9016</v>
      </c>
      <c r="C1240">
        <v>8575</v>
      </c>
      <c r="D1240">
        <v>0</v>
      </c>
    </row>
    <row r="1241" spans="1:4" x14ac:dyDescent="0.35">
      <c r="A1241" t="s">
        <v>1401</v>
      </c>
      <c r="B1241">
        <v>9523</v>
      </c>
      <c r="C1241">
        <v>17135</v>
      </c>
      <c r="D1241">
        <v>5</v>
      </c>
    </row>
    <row r="1242" spans="1:4" x14ac:dyDescent="0.35">
      <c r="A1242" t="s">
        <v>34</v>
      </c>
      <c r="B1242">
        <v>22970</v>
      </c>
      <c r="C1242">
        <v>22005</v>
      </c>
      <c r="D1242">
        <v>972</v>
      </c>
    </row>
    <row r="1243" spans="1:4" x14ac:dyDescent="0.35">
      <c r="A1243" t="s">
        <v>1402</v>
      </c>
      <c r="B1243">
        <v>882</v>
      </c>
      <c r="C1243">
        <v>851</v>
      </c>
      <c r="D1243">
        <v>15</v>
      </c>
    </row>
    <row r="1244" spans="1:4" x14ac:dyDescent="0.35">
      <c r="A1244" t="s">
        <v>1403</v>
      </c>
      <c r="B1244">
        <v>1208</v>
      </c>
      <c r="C1244">
        <v>1208</v>
      </c>
      <c r="D1244">
        <v>0</v>
      </c>
    </row>
    <row r="1245" spans="1:4" x14ac:dyDescent="0.35">
      <c r="A1245" t="s">
        <v>1404</v>
      </c>
      <c r="B1245">
        <v>2941</v>
      </c>
      <c r="C1245">
        <v>2108</v>
      </c>
      <c r="D1245">
        <v>0</v>
      </c>
    </row>
    <row r="1246" spans="1:4" x14ac:dyDescent="0.35">
      <c r="A1246" t="s">
        <v>187</v>
      </c>
      <c r="B1246">
        <v>3990</v>
      </c>
      <c r="C1246">
        <v>3500</v>
      </c>
      <c r="D1246">
        <v>1059</v>
      </c>
    </row>
    <row r="1247" spans="1:4" x14ac:dyDescent="0.35">
      <c r="A1247" t="s">
        <v>1405</v>
      </c>
      <c r="B1247">
        <v>1665</v>
      </c>
      <c r="C1247">
        <v>1655</v>
      </c>
      <c r="D1247">
        <v>123</v>
      </c>
    </row>
    <row r="1248" spans="1:4" x14ac:dyDescent="0.35">
      <c r="A1248" t="s">
        <v>1406</v>
      </c>
      <c r="B1248">
        <v>3731</v>
      </c>
      <c r="C1248">
        <v>2781</v>
      </c>
      <c r="D1248">
        <v>62</v>
      </c>
    </row>
    <row r="1249" spans="1:4" x14ac:dyDescent="0.35">
      <c r="A1249" t="s">
        <v>1407</v>
      </c>
      <c r="B1249">
        <v>4600</v>
      </c>
      <c r="C1249">
        <v>4374</v>
      </c>
      <c r="D1249">
        <v>172</v>
      </c>
    </row>
    <row r="1250" spans="1:4" x14ac:dyDescent="0.35">
      <c r="A1250" t="s">
        <v>69</v>
      </c>
      <c r="B1250">
        <v>6374</v>
      </c>
      <c r="C1250">
        <v>6185</v>
      </c>
      <c r="D1250">
        <v>5888</v>
      </c>
    </row>
    <row r="1251" spans="1:4" x14ac:dyDescent="0.35">
      <c r="A1251" t="s">
        <v>1408</v>
      </c>
      <c r="B1251">
        <v>1499</v>
      </c>
      <c r="C1251">
        <v>1083</v>
      </c>
      <c r="D1251">
        <v>0</v>
      </c>
    </row>
    <row r="1252" spans="1:4" x14ac:dyDescent="0.35">
      <c r="A1252" t="s">
        <v>1409</v>
      </c>
      <c r="B1252">
        <v>1884</v>
      </c>
      <c r="C1252">
        <v>1551</v>
      </c>
      <c r="D1252">
        <v>5</v>
      </c>
    </row>
    <row r="1253" spans="1:4" x14ac:dyDescent="0.35">
      <c r="A1253" t="s">
        <v>1410</v>
      </c>
      <c r="B1253">
        <v>3098</v>
      </c>
      <c r="C1253">
        <v>3080</v>
      </c>
      <c r="D1253">
        <v>0</v>
      </c>
    </row>
    <row r="1254" spans="1:4" x14ac:dyDescent="0.35">
      <c r="A1254" t="s">
        <v>183</v>
      </c>
      <c r="B1254">
        <v>5400</v>
      </c>
      <c r="C1254">
        <v>5337</v>
      </c>
      <c r="D1254">
        <v>30</v>
      </c>
    </row>
    <row r="1255" spans="1:4" x14ac:dyDescent="0.35">
      <c r="A1255" t="s">
        <v>1411</v>
      </c>
      <c r="B1255">
        <v>5135</v>
      </c>
      <c r="C1255">
        <v>5035</v>
      </c>
      <c r="D1255">
        <v>24</v>
      </c>
    </row>
    <row r="1256" spans="1:4" x14ac:dyDescent="0.35">
      <c r="A1256" t="s">
        <v>1412</v>
      </c>
      <c r="B1256">
        <v>10780</v>
      </c>
      <c r="C1256">
        <v>10537</v>
      </c>
      <c r="D1256">
        <v>90</v>
      </c>
    </row>
    <row r="1257" spans="1:4" x14ac:dyDescent="0.35">
      <c r="A1257" t="s">
        <v>1413</v>
      </c>
      <c r="B1257">
        <v>16000</v>
      </c>
      <c r="C1257">
        <v>14870</v>
      </c>
      <c r="D1257">
        <v>2</v>
      </c>
    </row>
    <row r="1258" spans="1:4" x14ac:dyDescent="0.35">
      <c r="A1258" t="s">
        <v>36</v>
      </c>
      <c r="B1258">
        <v>20000</v>
      </c>
      <c r="C1258">
        <v>19965</v>
      </c>
      <c r="D1258">
        <v>5834</v>
      </c>
    </row>
    <row r="1259" spans="1:4" x14ac:dyDescent="0.35">
      <c r="A1259" t="s">
        <v>1414</v>
      </c>
      <c r="B1259">
        <v>890</v>
      </c>
      <c r="C1259">
        <v>702</v>
      </c>
      <c r="D1259">
        <v>0</v>
      </c>
    </row>
    <row r="1260" spans="1:4" x14ac:dyDescent="0.35">
      <c r="A1260" t="s">
        <v>1415</v>
      </c>
      <c r="B1260">
        <v>510</v>
      </c>
      <c r="C1260">
        <v>1509</v>
      </c>
      <c r="D1260">
        <v>0</v>
      </c>
    </row>
    <row r="1261" spans="1:4" x14ac:dyDescent="0.35">
      <c r="A1261" t="s">
        <v>1416</v>
      </c>
      <c r="B1261">
        <v>2391</v>
      </c>
      <c r="C1261">
        <v>2275</v>
      </c>
      <c r="D1261">
        <v>0</v>
      </c>
    </row>
    <row r="1262" spans="1:4" x14ac:dyDescent="0.35">
      <c r="A1262" t="s">
        <v>186</v>
      </c>
      <c r="B1262">
        <v>5034</v>
      </c>
      <c r="C1262">
        <v>4975</v>
      </c>
      <c r="D1262">
        <v>37</v>
      </c>
    </row>
    <row r="1263" spans="1:4" x14ac:dyDescent="0.35">
      <c r="A1263" t="s">
        <v>1417</v>
      </c>
      <c r="B1263">
        <v>1328</v>
      </c>
      <c r="C1263">
        <v>1367</v>
      </c>
      <c r="D1263">
        <v>0</v>
      </c>
    </row>
    <row r="1264" spans="1:4" x14ac:dyDescent="0.35">
      <c r="A1264" t="s">
        <v>1418</v>
      </c>
      <c r="B1264">
        <v>2693</v>
      </c>
      <c r="C1264">
        <v>2762</v>
      </c>
      <c r="D1264">
        <v>0</v>
      </c>
    </row>
    <row r="1265" spans="1:4" x14ac:dyDescent="0.35">
      <c r="A1265" t="s">
        <v>1419</v>
      </c>
      <c r="B1265">
        <v>2084</v>
      </c>
      <c r="C1265">
        <v>4816</v>
      </c>
      <c r="D1265">
        <v>1</v>
      </c>
    </row>
    <row r="1266" spans="1:4" x14ac:dyDescent="0.35">
      <c r="A1266" t="s">
        <v>51</v>
      </c>
      <c r="B1266">
        <v>6378</v>
      </c>
      <c r="C1266">
        <v>6064</v>
      </c>
      <c r="D1266">
        <v>105</v>
      </c>
    </row>
    <row r="1267" spans="1:4" x14ac:dyDescent="0.35">
      <c r="A1267" t="s">
        <v>1420</v>
      </c>
      <c r="B1267">
        <v>1139</v>
      </c>
      <c r="C1267">
        <v>1113</v>
      </c>
      <c r="D1267">
        <v>1894</v>
      </c>
    </row>
    <row r="1268" spans="1:4" x14ac:dyDescent="0.35">
      <c r="A1268" t="s">
        <v>1421</v>
      </c>
      <c r="B1268">
        <v>151</v>
      </c>
      <c r="C1268">
        <v>150</v>
      </c>
      <c r="D1268">
        <v>14</v>
      </c>
    </row>
    <row r="1269" spans="1:4" x14ac:dyDescent="0.35">
      <c r="A1269" t="s">
        <v>1422</v>
      </c>
      <c r="B1269">
        <v>2999</v>
      </c>
      <c r="C1269">
        <v>1384</v>
      </c>
      <c r="D1269">
        <v>8</v>
      </c>
    </row>
    <row r="1270" spans="1:4" x14ac:dyDescent="0.35">
      <c r="A1270" t="s">
        <v>1423</v>
      </c>
      <c r="B1270">
        <v>15778</v>
      </c>
      <c r="C1270">
        <v>15000</v>
      </c>
      <c r="D1270">
        <v>0</v>
      </c>
    </row>
    <row r="1271" spans="1:4" x14ac:dyDescent="0.35">
      <c r="A1271" t="s">
        <v>1424</v>
      </c>
      <c r="B1271">
        <v>3768985</v>
      </c>
      <c r="C1271">
        <v>3803931</v>
      </c>
      <c r="D1271">
        <v>5</v>
      </c>
    </row>
    <row r="1272" spans="1:4" x14ac:dyDescent="0.35">
      <c r="A1272" t="s">
        <v>1425</v>
      </c>
      <c r="B1272">
        <v>131500</v>
      </c>
      <c r="C1272">
        <v>130809</v>
      </c>
      <c r="D1272">
        <v>23</v>
      </c>
    </row>
    <row r="1273" spans="1:4" x14ac:dyDescent="0.35">
      <c r="A1273" t="s">
        <v>1426</v>
      </c>
      <c r="B1273">
        <v>147000000</v>
      </c>
      <c r="C1273">
        <v>147634000</v>
      </c>
      <c r="D1273">
        <v>0</v>
      </c>
    </row>
    <row r="1274" spans="1:4" x14ac:dyDescent="0.35">
      <c r="A1274" t="s">
        <v>1427</v>
      </c>
      <c r="B1274">
        <v>104281888</v>
      </c>
      <c r="C1274">
        <v>144833314</v>
      </c>
      <c r="D1274">
        <v>0</v>
      </c>
    </row>
    <row r="1275" spans="1:4" x14ac:dyDescent="0.35">
      <c r="A1275" t="s">
        <v>1428</v>
      </c>
      <c r="B1275">
        <v>2390</v>
      </c>
      <c r="C1275">
        <v>2368</v>
      </c>
      <c r="D1275">
        <v>113771</v>
      </c>
    </row>
    <row r="1276" spans="1:4" x14ac:dyDescent="0.35">
      <c r="A1276" t="s">
        <v>1429</v>
      </c>
      <c r="B1276">
        <v>2994</v>
      </c>
      <c r="C1276">
        <v>2750</v>
      </c>
      <c r="D1276">
        <v>25</v>
      </c>
    </row>
    <row r="1277" spans="1:4" x14ac:dyDescent="0.35">
      <c r="A1277" t="s">
        <v>1430</v>
      </c>
      <c r="B1277">
        <v>3066</v>
      </c>
      <c r="C1277">
        <v>2524</v>
      </c>
      <c r="D1277">
        <v>99</v>
      </c>
    </row>
    <row r="1278" spans="1:4" x14ac:dyDescent="0.35">
      <c r="A1278" t="s">
        <v>1431</v>
      </c>
      <c r="B1278">
        <v>3455</v>
      </c>
      <c r="C1278">
        <v>3429</v>
      </c>
      <c r="D1278">
        <v>5468</v>
      </c>
    </row>
    <row r="1279" spans="1:4" x14ac:dyDescent="0.35">
      <c r="A1279" t="s">
        <v>1432</v>
      </c>
      <c r="B1279">
        <v>2420</v>
      </c>
      <c r="C1279">
        <v>2375</v>
      </c>
      <c r="D1279">
        <v>35741</v>
      </c>
    </row>
    <row r="1280" spans="1:4" x14ac:dyDescent="0.35">
      <c r="A1280" t="s">
        <v>1433</v>
      </c>
      <c r="B1280">
        <v>94000</v>
      </c>
      <c r="C1280">
        <v>87758</v>
      </c>
      <c r="D1280">
        <v>33</v>
      </c>
    </row>
    <row r="1281" spans="1:4" x14ac:dyDescent="0.35">
      <c r="A1281" t="s">
        <v>1434</v>
      </c>
      <c r="B1281">
        <v>122375</v>
      </c>
      <c r="C1281">
        <v>119000</v>
      </c>
      <c r="D1281">
        <v>229</v>
      </c>
    </row>
    <row r="1282" spans="1:4" x14ac:dyDescent="0.35">
      <c r="A1282" t="s">
        <v>1435</v>
      </c>
      <c r="B1282">
        <v>50</v>
      </c>
      <c r="C1282">
        <v>50</v>
      </c>
      <c r="D1282">
        <v>1</v>
      </c>
    </row>
    <row r="1283" spans="1:4" x14ac:dyDescent="0.35">
      <c r="A1283" t="s">
        <v>1436</v>
      </c>
      <c r="B1283">
        <v>343</v>
      </c>
      <c r="C1283">
        <v>20000</v>
      </c>
      <c r="D1283">
        <v>0</v>
      </c>
    </row>
    <row r="1284" spans="1:4" x14ac:dyDescent="0.35">
      <c r="A1284" t="s">
        <v>1437</v>
      </c>
      <c r="B1284">
        <v>8627</v>
      </c>
      <c r="C1284">
        <v>7500</v>
      </c>
      <c r="D1284">
        <v>0</v>
      </c>
    </row>
    <row r="1285" spans="1:4" x14ac:dyDescent="0.35">
      <c r="A1285" t="s">
        <v>1438</v>
      </c>
      <c r="B1285">
        <v>243062</v>
      </c>
      <c r="C1285">
        <v>250000</v>
      </c>
      <c r="D1285">
        <v>0</v>
      </c>
    </row>
    <row r="1286" spans="1:4" x14ac:dyDescent="0.35">
      <c r="A1286" t="s">
        <v>1439</v>
      </c>
      <c r="B1286">
        <v>395665</v>
      </c>
      <c r="C1286">
        <v>18601</v>
      </c>
      <c r="D1286">
        <v>0</v>
      </c>
    </row>
    <row r="1287" spans="1:4" x14ac:dyDescent="0.35">
      <c r="A1287" t="s">
        <v>1440</v>
      </c>
      <c r="B1287">
        <v>2945</v>
      </c>
      <c r="C1287">
        <v>2940</v>
      </c>
      <c r="D1287">
        <v>10779</v>
      </c>
    </row>
    <row r="1288" spans="1:4" x14ac:dyDescent="0.35">
      <c r="A1288" t="s">
        <v>1441</v>
      </c>
      <c r="B1288">
        <v>2581</v>
      </c>
      <c r="C1288">
        <v>2692</v>
      </c>
      <c r="D1288">
        <v>0</v>
      </c>
    </row>
    <row r="1289" spans="1:4" x14ac:dyDescent="0.35">
      <c r="A1289" t="s">
        <v>1442</v>
      </c>
      <c r="B1289">
        <v>3300</v>
      </c>
      <c r="C1289">
        <v>2364</v>
      </c>
      <c r="D1289">
        <v>0</v>
      </c>
    </row>
    <row r="1290" spans="1:4" x14ac:dyDescent="0.35">
      <c r="A1290" t="s">
        <v>1443</v>
      </c>
      <c r="B1290">
        <v>3856</v>
      </c>
      <c r="C1290">
        <v>3003</v>
      </c>
      <c r="D1290">
        <v>0</v>
      </c>
    </row>
    <row r="1291" spans="1:4" x14ac:dyDescent="0.35">
      <c r="A1291" t="s">
        <v>1444</v>
      </c>
      <c r="B1291">
        <v>2934</v>
      </c>
      <c r="C1291">
        <v>2890</v>
      </c>
      <c r="D1291">
        <v>48648</v>
      </c>
    </row>
    <row r="1292" spans="1:4" x14ac:dyDescent="0.35">
      <c r="A1292" t="s">
        <v>1445</v>
      </c>
      <c r="B1292">
        <v>2176</v>
      </c>
      <c r="C1292">
        <v>2176</v>
      </c>
      <c r="D1292">
        <v>99938</v>
      </c>
    </row>
    <row r="1293" spans="1:4" x14ac:dyDescent="0.35">
      <c r="A1293" t="s">
        <v>1446</v>
      </c>
      <c r="B1293">
        <v>327327</v>
      </c>
      <c r="C1293">
        <v>321000</v>
      </c>
      <c r="D1293">
        <v>204</v>
      </c>
    </row>
    <row r="1294" spans="1:4" x14ac:dyDescent="0.35">
      <c r="A1294" t="s">
        <v>1447</v>
      </c>
      <c r="B1294">
        <v>28777</v>
      </c>
      <c r="C1294">
        <v>9500</v>
      </c>
      <c r="D1294">
        <v>14</v>
      </c>
    </row>
    <row r="1295" spans="1:4" x14ac:dyDescent="0.35">
      <c r="A1295" t="s">
        <v>1448</v>
      </c>
      <c r="B1295">
        <v>20878</v>
      </c>
      <c r="C1295">
        <v>21023</v>
      </c>
      <c r="D1295">
        <v>2</v>
      </c>
    </row>
    <row r="1296" spans="1:4" x14ac:dyDescent="0.35">
      <c r="A1296" t="s">
        <v>1449</v>
      </c>
      <c r="B1296">
        <v>3021000</v>
      </c>
      <c r="C1296">
        <v>3021000</v>
      </c>
      <c r="D1296">
        <v>19</v>
      </c>
    </row>
    <row r="1297" spans="1:4" x14ac:dyDescent="0.35">
      <c r="A1297" t="s">
        <v>1450</v>
      </c>
      <c r="B1297">
        <v>2350</v>
      </c>
      <c r="C1297">
        <v>2350</v>
      </c>
      <c r="D1297">
        <v>5125</v>
      </c>
    </row>
    <row r="1298" spans="1:4" x14ac:dyDescent="0.35">
      <c r="A1298" t="s">
        <v>1451</v>
      </c>
      <c r="B1298">
        <v>309374</v>
      </c>
      <c r="C1298">
        <v>301336</v>
      </c>
      <c r="D1298">
        <v>29</v>
      </c>
    </row>
    <row r="1299" spans="1:4" x14ac:dyDescent="0.35">
      <c r="A1299" t="s">
        <v>1452</v>
      </c>
      <c r="B1299">
        <v>3739</v>
      </c>
      <c r="C1299">
        <v>3200</v>
      </c>
      <c r="D1299">
        <v>2</v>
      </c>
    </row>
    <row r="1300" spans="1:4" x14ac:dyDescent="0.35">
      <c r="A1300" t="s">
        <v>1453</v>
      </c>
      <c r="B1300">
        <v>46847984</v>
      </c>
      <c r="C1300">
        <v>45788160</v>
      </c>
      <c r="D1300">
        <v>39</v>
      </c>
    </row>
    <row r="1301" spans="1:4" x14ac:dyDescent="0.35">
      <c r="A1301" t="s">
        <v>1454</v>
      </c>
      <c r="B1301">
        <v>741699</v>
      </c>
      <c r="C1301">
        <v>741000</v>
      </c>
      <c r="D1301">
        <v>142</v>
      </c>
    </row>
    <row r="1302" spans="1:4" x14ac:dyDescent="0.35">
      <c r="A1302" t="s">
        <v>1455</v>
      </c>
      <c r="B1302">
        <v>770000</v>
      </c>
      <c r="C1302">
        <v>721000</v>
      </c>
      <c r="D1302">
        <v>0</v>
      </c>
    </row>
    <row r="1303" spans="1:4" x14ac:dyDescent="0.35">
      <c r="A1303" t="s">
        <v>1456</v>
      </c>
      <c r="B1303">
        <v>17900</v>
      </c>
      <c r="C1303">
        <v>17301</v>
      </c>
      <c r="D1303">
        <v>1321</v>
      </c>
    </row>
    <row r="1304" spans="1:4" x14ac:dyDescent="0.35">
      <c r="A1304" t="s">
        <v>1457</v>
      </c>
      <c r="B1304">
        <v>17451</v>
      </c>
      <c r="C1304">
        <v>15900</v>
      </c>
      <c r="D1304">
        <v>32</v>
      </c>
    </row>
    <row r="1305" spans="1:4" x14ac:dyDescent="0.35">
      <c r="A1305" t="s">
        <v>1458</v>
      </c>
      <c r="B1305">
        <v>16709</v>
      </c>
      <c r="C1305">
        <v>16500</v>
      </c>
      <c r="D1305">
        <v>6</v>
      </c>
    </row>
    <row r="1306" spans="1:4" x14ac:dyDescent="0.35">
      <c r="A1306" t="s">
        <v>1459</v>
      </c>
      <c r="B1306">
        <v>18800</v>
      </c>
      <c r="C1306">
        <v>18443</v>
      </c>
      <c r="D1306">
        <v>121</v>
      </c>
    </row>
    <row r="1307" spans="1:4" x14ac:dyDescent="0.35">
      <c r="A1307" t="s">
        <v>1460</v>
      </c>
      <c r="B1307">
        <v>1349</v>
      </c>
      <c r="C1307">
        <v>1314</v>
      </c>
      <c r="D1307">
        <v>86666</v>
      </c>
    </row>
    <row r="1308" spans="1:4" x14ac:dyDescent="0.35">
      <c r="A1308" t="s">
        <v>1461</v>
      </c>
      <c r="B1308">
        <v>1778</v>
      </c>
      <c r="C1308">
        <v>1703</v>
      </c>
      <c r="D1308">
        <v>41715</v>
      </c>
    </row>
    <row r="1309" spans="1:4" x14ac:dyDescent="0.35">
      <c r="A1309" t="s">
        <v>1462</v>
      </c>
      <c r="B1309">
        <v>1472</v>
      </c>
      <c r="C1309">
        <v>1094</v>
      </c>
      <c r="D1309">
        <v>10</v>
      </c>
    </row>
    <row r="1310" spans="1:4" x14ac:dyDescent="0.35">
      <c r="A1310" t="s">
        <v>1463</v>
      </c>
      <c r="B1310">
        <v>1759</v>
      </c>
      <c r="C1310">
        <v>1759</v>
      </c>
      <c r="D1310">
        <v>0</v>
      </c>
    </row>
    <row r="1311" spans="1:4" x14ac:dyDescent="0.35">
      <c r="A1311" t="s">
        <v>1464</v>
      </c>
      <c r="B1311">
        <v>2447</v>
      </c>
      <c r="C1311">
        <v>2243</v>
      </c>
      <c r="D1311">
        <v>7</v>
      </c>
    </row>
    <row r="1312" spans="1:4" x14ac:dyDescent="0.35">
      <c r="A1312" t="s">
        <v>1465</v>
      </c>
      <c r="B1312">
        <v>62050</v>
      </c>
      <c r="C1312">
        <v>47250</v>
      </c>
      <c r="D1312">
        <v>5</v>
      </c>
    </row>
    <row r="1313" spans="1:4" x14ac:dyDescent="0.35">
      <c r="A1313" t="s">
        <v>1466</v>
      </c>
      <c r="B1313">
        <v>2364986</v>
      </c>
      <c r="C1313">
        <v>2366880</v>
      </c>
      <c r="D1313">
        <v>11</v>
      </c>
    </row>
    <row r="1314" spans="1:4" x14ac:dyDescent="0.35">
      <c r="A1314" t="s">
        <v>1467</v>
      </c>
      <c r="B1314">
        <v>57000000</v>
      </c>
      <c r="C1314">
        <v>56827981</v>
      </c>
      <c r="D1314">
        <v>0</v>
      </c>
    </row>
    <row r="1315" spans="1:4" x14ac:dyDescent="0.35">
      <c r="A1315" t="s">
        <v>1468</v>
      </c>
      <c r="B1315">
        <v>26726</v>
      </c>
      <c r="C1315">
        <v>25000</v>
      </c>
      <c r="D1315">
        <v>0</v>
      </c>
    </row>
    <row r="1316" spans="1:4" x14ac:dyDescent="0.35">
      <c r="A1316" t="s">
        <v>1469</v>
      </c>
      <c r="B1316">
        <v>149774</v>
      </c>
      <c r="C1316">
        <v>149464</v>
      </c>
      <c r="D1316">
        <v>127</v>
      </c>
    </row>
    <row r="1317" spans="1:4" x14ac:dyDescent="0.35">
      <c r="A1317" t="s">
        <v>1470</v>
      </c>
      <c r="B1317">
        <v>2878663</v>
      </c>
      <c r="C1317">
        <v>2804235</v>
      </c>
      <c r="D1317">
        <v>24</v>
      </c>
    </row>
    <row r="1318" spans="1:4" x14ac:dyDescent="0.35">
      <c r="A1318" t="s">
        <v>1471</v>
      </c>
      <c r="B1318">
        <v>45087</v>
      </c>
      <c r="C1318">
        <v>45087</v>
      </c>
      <c r="D1318">
        <v>1</v>
      </c>
    </row>
    <row r="1319" spans="1:4" x14ac:dyDescent="0.35">
      <c r="A1319" t="s">
        <v>1472</v>
      </c>
      <c r="B1319">
        <v>53667</v>
      </c>
      <c r="C1319">
        <v>28000</v>
      </c>
      <c r="D1319">
        <v>0</v>
      </c>
    </row>
    <row r="1320" spans="1:4" x14ac:dyDescent="0.35">
      <c r="A1320" t="s">
        <v>1473</v>
      </c>
      <c r="B1320">
        <v>44199</v>
      </c>
      <c r="C1320">
        <v>41000</v>
      </c>
      <c r="D1320">
        <v>0</v>
      </c>
    </row>
    <row r="1321" spans="1:4" x14ac:dyDescent="0.35">
      <c r="A1321" t="s">
        <v>1474</v>
      </c>
      <c r="B1321">
        <v>45782</v>
      </c>
      <c r="C1321">
        <v>40000</v>
      </c>
      <c r="D1321">
        <v>1</v>
      </c>
    </row>
    <row r="1322" spans="1:4" x14ac:dyDescent="0.35">
      <c r="A1322" t="s">
        <v>1475</v>
      </c>
      <c r="B1322">
        <v>47144342</v>
      </c>
      <c r="C1322">
        <v>47144342</v>
      </c>
      <c r="D1322">
        <v>45</v>
      </c>
    </row>
    <row r="1323" spans="1:4" x14ac:dyDescent="0.35">
      <c r="A1323" t="s">
        <v>1476</v>
      </c>
      <c r="B1323">
        <v>71500000</v>
      </c>
      <c r="C1323">
        <v>71500000</v>
      </c>
      <c r="D1323">
        <v>35</v>
      </c>
    </row>
    <row r="1324" spans="1:4" x14ac:dyDescent="0.35">
      <c r="A1324" t="s">
        <v>1477</v>
      </c>
      <c r="B1324">
        <v>17933153</v>
      </c>
      <c r="C1324">
        <v>17887592</v>
      </c>
      <c r="D1324">
        <v>13</v>
      </c>
    </row>
    <row r="1325" spans="1:4" x14ac:dyDescent="0.35">
      <c r="A1325" t="s">
        <v>1478</v>
      </c>
      <c r="B1325">
        <v>385437</v>
      </c>
      <c r="C1325">
        <v>371188</v>
      </c>
      <c r="D1325">
        <v>37</v>
      </c>
    </row>
    <row r="1326" spans="1:4" x14ac:dyDescent="0.35">
      <c r="A1326" t="s">
        <v>1479</v>
      </c>
      <c r="B1326">
        <v>788</v>
      </c>
      <c r="C1326">
        <v>771</v>
      </c>
      <c r="D1326">
        <v>23897</v>
      </c>
    </row>
    <row r="1327" spans="1:4" x14ac:dyDescent="0.35">
      <c r="A1327" t="s">
        <v>1480</v>
      </c>
      <c r="B1327">
        <v>817</v>
      </c>
      <c r="C1327">
        <v>791</v>
      </c>
      <c r="D1327">
        <v>30615</v>
      </c>
    </row>
    <row r="1328" spans="1:4" x14ac:dyDescent="0.35">
      <c r="A1328" t="s">
        <v>1481</v>
      </c>
      <c r="B1328">
        <v>960</v>
      </c>
      <c r="C1328">
        <v>703</v>
      </c>
      <c r="D1328">
        <v>268</v>
      </c>
    </row>
    <row r="1329" spans="1:4" x14ac:dyDescent="0.35">
      <c r="A1329" t="s">
        <v>1482</v>
      </c>
      <c r="B1329">
        <v>1311</v>
      </c>
      <c r="C1329">
        <v>1264</v>
      </c>
      <c r="D1329">
        <v>63</v>
      </c>
    </row>
    <row r="1330" spans="1:4" x14ac:dyDescent="0.35">
      <c r="A1330" t="s">
        <v>1483</v>
      </c>
      <c r="B1330">
        <v>2218</v>
      </c>
      <c r="C1330">
        <v>1958</v>
      </c>
      <c r="D1330">
        <v>728</v>
      </c>
    </row>
    <row r="1331" spans="1:4" x14ac:dyDescent="0.35">
      <c r="A1331" t="s">
        <v>1484</v>
      </c>
      <c r="B1331">
        <v>1800000</v>
      </c>
      <c r="C1331">
        <v>1711079</v>
      </c>
      <c r="D1331">
        <v>14</v>
      </c>
    </row>
    <row r="1332" spans="1:4" x14ac:dyDescent="0.35">
      <c r="A1332" t="s">
        <v>1485</v>
      </c>
      <c r="B1332">
        <v>86400000</v>
      </c>
      <c r="C1332">
        <v>84126126</v>
      </c>
      <c r="D1332">
        <v>1</v>
      </c>
    </row>
    <row r="1333" spans="1:4" x14ac:dyDescent="0.35">
      <c r="A1333" t="s">
        <v>1486</v>
      </c>
      <c r="B1333">
        <v>3555689</v>
      </c>
      <c r="C1333">
        <v>3333333</v>
      </c>
      <c r="D1333">
        <v>0</v>
      </c>
    </row>
    <row r="1334" spans="1:4" x14ac:dyDescent="0.35">
      <c r="A1334" t="s">
        <v>1487</v>
      </c>
      <c r="B1334">
        <v>9630</v>
      </c>
      <c r="C1334">
        <v>9622</v>
      </c>
      <c r="D1334">
        <v>2553</v>
      </c>
    </row>
    <row r="1335" spans="1:4" x14ac:dyDescent="0.35">
      <c r="A1335" t="s">
        <v>1488</v>
      </c>
      <c r="B1335">
        <v>10233</v>
      </c>
      <c r="C1335">
        <v>9613</v>
      </c>
      <c r="D1335">
        <v>0</v>
      </c>
    </row>
    <row r="1336" spans="1:4" x14ac:dyDescent="0.35">
      <c r="A1336" t="s">
        <v>1489</v>
      </c>
      <c r="B1336">
        <v>9142</v>
      </c>
      <c r="C1336">
        <v>9142</v>
      </c>
      <c r="D1336">
        <v>250</v>
      </c>
    </row>
    <row r="1337" spans="1:4" x14ac:dyDescent="0.35">
      <c r="A1337" t="s">
        <v>1490</v>
      </c>
      <c r="B1337">
        <v>10824</v>
      </c>
      <c r="C1337">
        <v>10701</v>
      </c>
      <c r="D1337">
        <v>250</v>
      </c>
    </row>
    <row r="1338" spans="1:4" x14ac:dyDescent="0.35">
      <c r="A1338" t="s">
        <v>1491</v>
      </c>
      <c r="B1338">
        <v>6000</v>
      </c>
      <c r="C1338">
        <v>3393</v>
      </c>
      <c r="D1338">
        <v>1</v>
      </c>
    </row>
    <row r="1339" spans="1:4" x14ac:dyDescent="0.35">
      <c r="A1339" t="s">
        <v>1492</v>
      </c>
      <c r="B1339">
        <v>738197</v>
      </c>
      <c r="C1339">
        <v>720025</v>
      </c>
      <c r="D1339">
        <v>11</v>
      </c>
    </row>
    <row r="1340" spans="1:4" x14ac:dyDescent="0.35">
      <c r="A1340" t="s">
        <v>1493</v>
      </c>
      <c r="B1340">
        <v>59200</v>
      </c>
      <c r="C1340">
        <v>59213</v>
      </c>
      <c r="D1340">
        <v>1304</v>
      </c>
    </row>
    <row r="1341" spans="1:4" x14ac:dyDescent="0.35">
      <c r="A1341" t="s">
        <v>1494</v>
      </c>
      <c r="B1341">
        <v>29320</v>
      </c>
      <c r="C1341">
        <v>29299</v>
      </c>
      <c r="D1341">
        <v>447</v>
      </c>
    </row>
    <row r="1342" spans="1:4" x14ac:dyDescent="0.35">
      <c r="A1342" t="s">
        <v>1495</v>
      </c>
      <c r="B1342">
        <v>58832</v>
      </c>
      <c r="C1342">
        <v>58855</v>
      </c>
      <c r="D1342">
        <v>926</v>
      </c>
    </row>
    <row r="1343" spans="1:4" x14ac:dyDescent="0.35">
      <c r="A1343" t="s">
        <v>1496</v>
      </c>
      <c r="B1343">
        <v>300000</v>
      </c>
      <c r="C1343">
        <v>141000</v>
      </c>
      <c r="D1343">
        <v>0</v>
      </c>
    </row>
    <row r="1344" spans="1:4" x14ac:dyDescent="0.35">
      <c r="A1344" t="s">
        <v>1497</v>
      </c>
      <c r="B1344">
        <v>1900000</v>
      </c>
      <c r="C1344">
        <v>1854148</v>
      </c>
      <c r="D1344">
        <v>0</v>
      </c>
    </row>
    <row r="1345" spans="1:4" x14ac:dyDescent="0.35">
      <c r="A1345" t="s">
        <v>1498</v>
      </c>
      <c r="B1345">
        <v>800000</v>
      </c>
      <c r="C1345">
        <v>800000</v>
      </c>
      <c r="D1345">
        <v>148</v>
      </c>
    </row>
    <row r="1346" spans="1:4" x14ac:dyDescent="0.35">
      <c r="A1346" t="s">
        <v>1499</v>
      </c>
      <c r="B1346">
        <v>80900000</v>
      </c>
      <c r="C1346">
        <v>83255000</v>
      </c>
      <c r="D1346">
        <v>0</v>
      </c>
    </row>
    <row r="1347" spans="1:4" x14ac:dyDescent="0.35">
      <c r="A1347" t="s">
        <v>1500</v>
      </c>
      <c r="B1347">
        <v>53828</v>
      </c>
      <c r="C1347">
        <v>53202</v>
      </c>
      <c r="D1347">
        <v>2516</v>
      </c>
    </row>
    <row r="1348" spans="1:4" x14ac:dyDescent="0.35">
      <c r="A1348" t="s">
        <v>1501</v>
      </c>
      <c r="B1348">
        <v>11449</v>
      </c>
      <c r="C1348">
        <v>11090</v>
      </c>
      <c r="D1348">
        <v>138</v>
      </c>
    </row>
    <row r="1349" spans="1:4" x14ac:dyDescent="0.35">
      <c r="A1349" t="s">
        <v>1502</v>
      </c>
      <c r="B1349">
        <v>488747</v>
      </c>
      <c r="C1349">
        <v>482117</v>
      </c>
      <c r="D1349">
        <v>41</v>
      </c>
    </row>
    <row r="1350" spans="1:4" x14ac:dyDescent="0.35">
      <c r="A1350" t="s">
        <v>1503</v>
      </c>
      <c r="B1350">
        <v>1246088</v>
      </c>
      <c r="C1350">
        <v>1135375</v>
      </c>
      <c r="D1350">
        <v>2</v>
      </c>
    </row>
    <row r="1351" spans="1:4" x14ac:dyDescent="0.35">
      <c r="A1351" t="s">
        <v>1504</v>
      </c>
      <c r="B1351">
        <v>2425036</v>
      </c>
      <c r="C1351">
        <v>2499265</v>
      </c>
      <c r="D1351">
        <v>5</v>
      </c>
    </row>
    <row r="1352" spans="1:4" x14ac:dyDescent="0.35">
      <c r="A1352" t="s">
        <v>1505</v>
      </c>
      <c r="B1352">
        <v>10122000</v>
      </c>
      <c r="C1352">
        <v>9800000</v>
      </c>
      <c r="D1352">
        <v>0</v>
      </c>
    </row>
    <row r="1353" spans="1:4" x14ac:dyDescent="0.35">
      <c r="A1353" t="s">
        <v>1506</v>
      </c>
      <c r="B1353">
        <v>161203</v>
      </c>
      <c r="C1353">
        <v>161002</v>
      </c>
      <c r="D1353">
        <v>966</v>
      </c>
    </row>
    <row r="1354" spans="1:4" x14ac:dyDescent="0.35">
      <c r="A1354" t="s">
        <v>1507</v>
      </c>
      <c r="B1354">
        <v>161200</v>
      </c>
      <c r="C1354">
        <v>161083</v>
      </c>
      <c r="D1354">
        <v>575</v>
      </c>
    </row>
    <row r="1355" spans="1:4" x14ac:dyDescent="0.35">
      <c r="A1355" t="s">
        <v>139</v>
      </c>
      <c r="B1355">
        <v>80</v>
      </c>
      <c r="C1355">
        <v>79</v>
      </c>
      <c r="D1355">
        <v>24693</v>
      </c>
    </row>
    <row r="1356" spans="1:4" x14ac:dyDescent="0.35">
      <c r="A1356" t="s">
        <v>1508</v>
      </c>
      <c r="B1356">
        <v>60019</v>
      </c>
      <c r="C1356">
        <v>59422</v>
      </c>
      <c r="D1356">
        <v>180</v>
      </c>
    </row>
    <row r="1357" spans="1:4" x14ac:dyDescent="0.35">
      <c r="A1357" t="s">
        <v>1509</v>
      </c>
      <c r="B1357">
        <v>169887</v>
      </c>
      <c r="C1357">
        <v>162265</v>
      </c>
      <c r="D1357">
        <v>1</v>
      </c>
    </row>
    <row r="1358" spans="1:4" x14ac:dyDescent="0.35">
      <c r="A1358" t="s">
        <v>1510</v>
      </c>
      <c r="B1358">
        <v>38249</v>
      </c>
      <c r="C1358">
        <v>36481</v>
      </c>
      <c r="D1358">
        <v>46</v>
      </c>
    </row>
    <row r="1359" spans="1:4" x14ac:dyDescent="0.35">
      <c r="A1359" t="s">
        <v>1511</v>
      </c>
      <c r="B1359">
        <v>43000</v>
      </c>
      <c r="C1359">
        <v>36000</v>
      </c>
      <c r="D1359">
        <v>0</v>
      </c>
    </row>
    <row r="1360" spans="1:4" x14ac:dyDescent="0.35">
      <c r="A1360" t="s">
        <v>1512</v>
      </c>
      <c r="B1360">
        <v>46600</v>
      </c>
      <c r="C1360">
        <v>35000</v>
      </c>
      <c r="D1360">
        <v>0</v>
      </c>
    </row>
    <row r="1361" spans="1:4" x14ac:dyDescent="0.35">
      <c r="A1361" t="s">
        <v>1513</v>
      </c>
      <c r="B1361">
        <v>45051</v>
      </c>
      <c r="C1361">
        <v>35903</v>
      </c>
      <c r="D1361">
        <v>4</v>
      </c>
    </row>
    <row r="1362" spans="1:4" x14ac:dyDescent="0.35">
      <c r="A1362" t="s">
        <v>1514</v>
      </c>
      <c r="B1362">
        <v>312277</v>
      </c>
      <c r="C1362">
        <v>299000</v>
      </c>
      <c r="D1362">
        <v>9</v>
      </c>
    </row>
    <row r="1363" spans="1:4" x14ac:dyDescent="0.35">
      <c r="A1363" t="s">
        <v>1515</v>
      </c>
      <c r="B1363">
        <v>2909</v>
      </c>
      <c r="C1363">
        <v>6000</v>
      </c>
      <c r="D1363">
        <v>0</v>
      </c>
    </row>
    <row r="1364" spans="1:4" x14ac:dyDescent="0.35">
      <c r="A1364" t="s">
        <v>1516</v>
      </c>
      <c r="B1364">
        <v>249457</v>
      </c>
      <c r="C1364">
        <v>242056</v>
      </c>
      <c r="D1364">
        <v>13</v>
      </c>
    </row>
    <row r="1365" spans="1:4" x14ac:dyDescent="0.35">
      <c r="A1365" t="s">
        <v>1517</v>
      </c>
      <c r="B1365">
        <v>394</v>
      </c>
      <c r="C1365">
        <v>390</v>
      </c>
      <c r="D1365">
        <v>3349</v>
      </c>
    </row>
    <row r="1366" spans="1:4" x14ac:dyDescent="0.35">
      <c r="A1366" t="s">
        <v>1518</v>
      </c>
      <c r="B1366">
        <v>14520511</v>
      </c>
      <c r="C1366">
        <v>14146862</v>
      </c>
      <c r="D1366">
        <v>51</v>
      </c>
    </row>
    <row r="1367" spans="1:4" x14ac:dyDescent="0.35">
      <c r="A1367" t="s">
        <v>1519</v>
      </c>
      <c r="B1367">
        <v>82185</v>
      </c>
      <c r="C1367">
        <v>82185</v>
      </c>
      <c r="D1367">
        <v>12</v>
      </c>
    </row>
    <row r="1368" spans="1:4" x14ac:dyDescent="0.35">
      <c r="A1368" t="s">
        <v>1520</v>
      </c>
      <c r="B1368">
        <v>3878003</v>
      </c>
      <c r="C1368">
        <v>3770794</v>
      </c>
      <c r="D1368">
        <v>70</v>
      </c>
    </row>
    <row r="1369" spans="1:4" x14ac:dyDescent="0.35">
      <c r="A1369" t="s">
        <v>1521</v>
      </c>
      <c r="B1369">
        <v>18000000</v>
      </c>
      <c r="C1369">
        <v>18079243</v>
      </c>
      <c r="D1369">
        <v>15</v>
      </c>
    </row>
    <row r="1370" spans="1:4" x14ac:dyDescent="0.35">
      <c r="A1370" t="s">
        <v>1522</v>
      </c>
      <c r="B1370">
        <v>1048</v>
      </c>
      <c r="C1370">
        <v>1018</v>
      </c>
      <c r="D1370">
        <v>1567</v>
      </c>
    </row>
    <row r="1371" spans="1:4" x14ac:dyDescent="0.35">
      <c r="A1371" t="s">
        <v>1523</v>
      </c>
      <c r="B1371">
        <v>446</v>
      </c>
      <c r="C1371">
        <v>446</v>
      </c>
      <c r="D1371">
        <v>2283</v>
      </c>
    </row>
    <row r="1372" spans="1:4" x14ac:dyDescent="0.35">
      <c r="A1372" t="s">
        <v>1524</v>
      </c>
      <c r="B1372">
        <v>173002</v>
      </c>
      <c r="C1372">
        <v>169101</v>
      </c>
      <c r="D1372">
        <v>373</v>
      </c>
    </row>
    <row r="1373" spans="1:4" x14ac:dyDescent="0.35">
      <c r="A1373" t="s">
        <v>1525</v>
      </c>
      <c r="B1373">
        <v>169300</v>
      </c>
      <c r="C1373">
        <v>169280</v>
      </c>
      <c r="D1373">
        <v>195</v>
      </c>
    </row>
    <row r="1374" spans="1:4" x14ac:dyDescent="0.35">
      <c r="A1374" t="s">
        <v>1526</v>
      </c>
      <c r="B1374">
        <v>11176</v>
      </c>
      <c r="C1374">
        <v>11125</v>
      </c>
      <c r="D1374">
        <v>10814</v>
      </c>
    </row>
    <row r="1375" spans="1:4" x14ac:dyDescent="0.35">
      <c r="A1375" t="s">
        <v>1527</v>
      </c>
      <c r="B1375">
        <v>11977</v>
      </c>
      <c r="C1375">
        <v>11800</v>
      </c>
      <c r="D1375">
        <v>17</v>
      </c>
    </row>
    <row r="1376" spans="1:4" x14ac:dyDescent="0.35">
      <c r="A1376" t="s">
        <v>1528</v>
      </c>
      <c r="B1376">
        <v>11450</v>
      </c>
      <c r="C1376">
        <v>11000</v>
      </c>
      <c r="D1376">
        <v>4</v>
      </c>
    </row>
    <row r="1377" spans="1:4" x14ac:dyDescent="0.35">
      <c r="A1377" t="s">
        <v>1529</v>
      </c>
      <c r="B1377">
        <v>3147500</v>
      </c>
      <c r="C1377">
        <v>3300000</v>
      </c>
      <c r="D1377">
        <v>0</v>
      </c>
    </row>
    <row r="1378" spans="1:4" x14ac:dyDescent="0.35">
      <c r="A1378" t="s">
        <v>1530</v>
      </c>
      <c r="B1378">
        <v>646</v>
      </c>
      <c r="C1378">
        <v>650</v>
      </c>
      <c r="D1378">
        <v>36957</v>
      </c>
    </row>
    <row r="1379" spans="1:4" x14ac:dyDescent="0.35">
      <c r="A1379" t="s">
        <v>1531</v>
      </c>
      <c r="B1379">
        <v>826</v>
      </c>
      <c r="C1379">
        <v>794</v>
      </c>
      <c r="D1379">
        <v>42753</v>
      </c>
    </row>
    <row r="1380" spans="1:4" x14ac:dyDescent="0.35">
      <c r="A1380" t="s">
        <v>1532</v>
      </c>
      <c r="B1380">
        <v>437</v>
      </c>
      <c r="C1380">
        <v>422</v>
      </c>
      <c r="D1380">
        <v>82638</v>
      </c>
    </row>
    <row r="1381" spans="1:4" x14ac:dyDescent="0.35">
      <c r="A1381" t="s">
        <v>1533</v>
      </c>
      <c r="B1381">
        <v>164270</v>
      </c>
      <c r="C1381">
        <v>172915</v>
      </c>
      <c r="D1381">
        <v>0</v>
      </c>
    </row>
    <row r="1382" spans="1:4" x14ac:dyDescent="0.35">
      <c r="A1382" t="s">
        <v>1534</v>
      </c>
      <c r="B1382">
        <v>11565</v>
      </c>
      <c r="C1382">
        <v>11500</v>
      </c>
      <c r="D1382">
        <v>44</v>
      </c>
    </row>
    <row r="1383" spans="1:4" x14ac:dyDescent="0.35">
      <c r="A1383" t="s">
        <v>1535</v>
      </c>
      <c r="B1383">
        <v>3624</v>
      </c>
      <c r="C1383">
        <v>3436</v>
      </c>
      <c r="D1383">
        <v>2043</v>
      </c>
    </row>
    <row r="1384" spans="1:4" x14ac:dyDescent="0.35">
      <c r="A1384" t="s">
        <v>1536</v>
      </c>
      <c r="B1384">
        <v>2237</v>
      </c>
      <c r="C1384">
        <v>2138</v>
      </c>
      <c r="D1384">
        <v>5633</v>
      </c>
    </row>
    <row r="1385" spans="1:4" x14ac:dyDescent="0.35">
      <c r="A1385" t="s">
        <v>1537</v>
      </c>
      <c r="B1385">
        <v>793561</v>
      </c>
      <c r="C1385">
        <v>789101</v>
      </c>
      <c r="D1385">
        <v>0</v>
      </c>
    </row>
    <row r="1386" spans="1:4" x14ac:dyDescent="0.35">
      <c r="A1386" t="s">
        <v>1538</v>
      </c>
      <c r="B1386">
        <v>262366</v>
      </c>
      <c r="C1386">
        <v>221010</v>
      </c>
      <c r="D1386">
        <v>1</v>
      </c>
    </row>
    <row r="1387" spans="1:4" x14ac:dyDescent="0.35">
      <c r="A1387" t="s">
        <v>1539</v>
      </c>
      <c r="B1387">
        <v>760615</v>
      </c>
      <c r="C1387">
        <v>738826</v>
      </c>
      <c r="D1387">
        <v>0</v>
      </c>
    </row>
    <row r="1388" spans="1:4" x14ac:dyDescent="0.35">
      <c r="A1388" t="s">
        <v>1540</v>
      </c>
      <c r="B1388">
        <v>780000</v>
      </c>
      <c r="C1388">
        <v>725000</v>
      </c>
      <c r="D1388">
        <v>1</v>
      </c>
    </row>
    <row r="1389" spans="1:4" x14ac:dyDescent="0.35">
      <c r="A1389" t="s">
        <v>1541</v>
      </c>
      <c r="B1389">
        <v>11672</v>
      </c>
      <c r="C1389">
        <v>11600</v>
      </c>
      <c r="D1389">
        <v>856</v>
      </c>
    </row>
    <row r="1390" spans="1:4" x14ac:dyDescent="0.35">
      <c r="A1390" t="s">
        <v>1542</v>
      </c>
      <c r="B1390">
        <v>3269</v>
      </c>
      <c r="C1390">
        <v>3223</v>
      </c>
      <c r="D1390">
        <v>420</v>
      </c>
    </row>
    <row r="1391" spans="1:4" x14ac:dyDescent="0.35">
      <c r="A1391" t="s">
        <v>1543</v>
      </c>
      <c r="B1391">
        <v>381364</v>
      </c>
      <c r="C1391">
        <v>380000</v>
      </c>
      <c r="D1391">
        <v>4</v>
      </c>
    </row>
    <row r="1392" spans="1:4" x14ac:dyDescent="0.35">
      <c r="A1392" t="s">
        <v>1544</v>
      </c>
      <c r="B1392">
        <v>59130</v>
      </c>
      <c r="C1392">
        <v>59130</v>
      </c>
      <c r="D1392">
        <v>4</v>
      </c>
    </row>
    <row r="1393" spans="1:4" x14ac:dyDescent="0.35">
      <c r="A1393" t="s">
        <v>1545</v>
      </c>
      <c r="B1393">
        <v>2044</v>
      </c>
      <c r="C1393">
        <v>1463</v>
      </c>
      <c r="D1393">
        <v>510</v>
      </c>
    </row>
    <row r="1394" spans="1:4" x14ac:dyDescent="0.35">
      <c r="A1394" t="s">
        <v>1546</v>
      </c>
      <c r="B1394">
        <v>1292</v>
      </c>
      <c r="C1394">
        <v>1100</v>
      </c>
      <c r="D1394">
        <v>3234</v>
      </c>
    </row>
    <row r="1395" spans="1:4" x14ac:dyDescent="0.35">
      <c r="A1395" t="s">
        <v>1547</v>
      </c>
      <c r="B1395">
        <v>7000</v>
      </c>
      <c r="C1395">
        <v>2256</v>
      </c>
      <c r="D1395">
        <v>0</v>
      </c>
    </row>
    <row r="1396" spans="1:4" x14ac:dyDescent="0.35">
      <c r="A1396" t="s">
        <v>1548</v>
      </c>
      <c r="B1396">
        <v>15000</v>
      </c>
      <c r="C1396">
        <v>9999</v>
      </c>
      <c r="D1396">
        <v>1</v>
      </c>
    </row>
    <row r="1397" spans="1:4" x14ac:dyDescent="0.35">
      <c r="A1397" t="s">
        <v>1549</v>
      </c>
      <c r="B1397">
        <v>8185</v>
      </c>
      <c r="C1397">
        <v>3070</v>
      </c>
      <c r="D1397">
        <v>0</v>
      </c>
    </row>
    <row r="1398" spans="1:4" x14ac:dyDescent="0.35">
      <c r="A1398" t="s">
        <v>1550</v>
      </c>
      <c r="B1398">
        <v>6788043</v>
      </c>
      <c r="C1398">
        <v>6637000</v>
      </c>
      <c r="D1398">
        <v>29</v>
      </c>
    </row>
    <row r="1399" spans="1:4" x14ac:dyDescent="0.35">
      <c r="A1399" t="s">
        <v>1551</v>
      </c>
      <c r="B1399">
        <v>3989</v>
      </c>
      <c r="C1399">
        <v>3989</v>
      </c>
      <c r="D1399">
        <v>0</v>
      </c>
    </row>
    <row r="1400" spans="1:4" x14ac:dyDescent="0.35">
      <c r="A1400" t="s">
        <v>1552</v>
      </c>
      <c r="B1400">
        <v>2500</v>
      </c>
      <c r="C1400">
        <v>2499</v>
      </c>
      <c r="D1400">
        <v>0</v>
      </c>
    </row>
    <row r="1401" spans="1:4" x14ac:dyDescent="0.35">
      <c r="A1401" t="s">
        <v>1553</v>
      </c>
      <c r="B1401">
        <v>14910</v>
      </c>
      <c r="C1401">
        <v>10446</v>
      </c>
      <c r="D1401">
        <v>15</v>
      </c>
    </row>
    <row r="1402" spans="1:4" x14ac:dyDescent="0.35">
      <c r="A1402" t="s">
        <v>1554</v>
      </c>
      <c r="B1402">
        <v>8</v>
      </c>
      <c r="C1402">
        <v>9</v>
      </c>
      <c r="D1402">
        <v>100916</v>
      </c>
    </row>
    <row r="1403" spans="1:4" x14ac:dyDescent="0.35">
      <c r="A1403" t="s">
        <v>1555</v>
      </c>
      <c r="B1403">
        <v>780000</v>
      </c>
      <c r="C1403">
        <v>757000</v>
      </c>
      <c r="D1403">
        <v>32</v>
      </c>
    </row>
    <row r="1404" spans="1:4" x14ac:dyDescent="0.35">
      <c r="A1404" t="s">
        <v>1556</v>
      </c>
      <c r="B1404">
        <v>2245</v>
      </c>
      <c r="C1404">
        <v>2190</v>
      </c>
      <c r="D1404">
        <v>11089</v>
      </c>
    </row>
    <row r="1405" spans="1:4" x14ac:dyDescent="0.35">
      <c r="A1405" t="s">
        <v>135</v>
      </c>
      <c r="B1405">
        <v>2539</v>
      </c>
      <c r="C1405">
        <v>2446</v>
      </c>
      <c r="D1405">
        <v>5318</v>
      </c>
    </row>
    <row r="1406" spans="1:4" x14ac:dyDescent="0.35">
      <c r="A1406" t="s">
        <v>1557</v>
      </c>
      <c r="B1406">
        <v>1156</v>
      </c>
      <c r="C1406">
        <v>1213</v>
      </c>
      <c r="D1406">
        <v>871</v>
      </c>
    </row>
    <row r="1407" spans="1:4" x14ac:dyDescent="0.35">
      <c r="A1407" t="s">
        <v>1558</v>
      </c>
      <c r="B1407">
        <v>35000</v>
      </c>
      <c r="C1407">
        <v>35000</v>
      </c>
      <c r="D1407">
        <v>11</v>
      </c>
    </row>
    <row r="1408" spans="1:4" x14ac:dyDescent="0.35">
      <c r="A1408" t="s">
        <v>1559</v>
      </c>
      <c r="B1408">
        <v>170</v>
      </c>
      <c r="C1408">
        <v>115</v>
      </c>
      <c r="D1408">
        <v>19</v>
      </c>
    </row>
    <row r="1409" spans="1:4" x14ac:dyDescent="0.35">
      <c r="A1409" t="s">
        <v>1560</v>
      </c>
      <c r="B1409">
        <v>13258</v>
      </c>
      <c r="C1409">
        <v>13955</v>
      </c>
      <c r="D1409">
        <v>0</v>
      </c>
    </row>
    <row r="1410" spans="1:4" x14ac:dyDescent="0.35">
      <c r="A1410" t="s">
        <v>1561</v>
      </c>
      <c r="B1410">
        <v>16113</v>
      </c>
      <c r="C1410">
        <v>15600</v>
      </c>
      <c r="D1410">
        <v>7</v>
      </c>
    </row>
    <row r="1411" spans="1:4" x14ac:dyDescent="0.35">
      <c r="A1411" t="s">
        <v>1562</v>
      </c>
      <c r="B1411">
        <v>183852</v>
      </c>
      <c r="C1411">
        <v>248856</v>
      </c>
      <c r="D1411">
        <v>0</v>
      </c>
    </row>
    <row r="1412" spans="1:4" x14ac:dyDescent="0.35">
      <c r="A1412" t="s">
        <v>1563</v>
      </c>
      <c r="B1412">
        <v>29</v>
      </c>
      <c r="C1412">
        <v>44</v>
      </c>
      <c r="D1412">
        <v>7</v>
      </c>
    </row>
    <row r="1413" spans="1:4" x14ac:dyDescent="0.35">
      <c r="A1413" t="s">
        <v>1564</v>
      </c>
      <c r="B1413">
        <v>20</v>
      </c>
      <c r="C1413">
        <v>11</v>
      </c>
      <c r="D1413">
        <v>236</v>
      </c>
    </row>
    <row r="1414" spans="1:4" x14ac:dyDescent="0.35">
      <c r="A1414" t="s">
        <v>1565</v>
      </c>
      <c r="B1414">
        <v>615</v>
      </c>
      <c r="C1414">
        <v>612</v>
      </c>
      <c r="D1414">
        <v>21132</v>
      </c>
    </row>
    <row r="1415" spans="1:4" x14ac:dyDescent="0.35">
      <c r="A1415" t="s">
        <v>1566</v>
      </c>
      <c r="B1415">
        <v>386</v>
      </c>
      <c r="C1415">
        <v>311</v>
      </c>
      <c r="D1415">
        <v>9</v>
      </c>
    </row>
    <row r="1416" spans="1:4" x14ac:dyDescent="0.35">
      <c r="A1416" t="s">
        <v>1567</v>
      </c>
      <c r="B1416">
        <v>8775</v>
      </c>
      <c r="C1416">
        <v>8751</v>
      </c>
      <c r="D1416">
        <v>18734</v>
      </c>
    </row>
    <row r="1417" spans="1:4" x14ac:dyDescent="0.35">
      <c r="A1417" t="s">
        <v>1568</v>
      </c>
      <c r="B1417">
        <v>1315</v>
      </c>
      <c r="C1417">
        <v>1208</v>
      </c>
      <c r="D1417">
        <v>179</v>
      </c>
    </row>
    <row r="1418" spans="1:4" x14ac:dyDescent="0.35">
      <c r="A1418" t="s">
        <v>1569</v>
      </c>
      <c r="B1418">
        <v>855</v>
      </c>
      <c r="C1418">
        <v>855</v>
      </c>
      <c r="D1418">
        <v>15589</v>
      </c>
    </row>
    <row r="1419" spans="1:4" x14ac:dyDescent="0.35">
      <c r="A1419" t="s">
        <v>1570</v>
      </c>
      <c r="B1419">
        <v>6</v>
      </c>
      <c r="C1419">
        <v>5</v>
      </c>
      <c r="D1419">
        <v>934968</v>
      </c>
    </row>
    <row r="1420" spans="1:4" x14ac:dyDescent="0.35">
      <c r="A1420" t="s">
        <v>1571</v>
      </c>
      <c r="B1420">
        <v>665</v>
      </c>
      <c r="C1420">
        <v>651</v>
      </c>
      <c r="D1420">
        <v>6799</v>
      </c>
    </row>
    <row r="1421" spans="1:4" x14ac:dyDescent="0.35">
      <c r="A1421" t="s">
        <v>1572</v>
      </c>
      <c r="B1421">
        <v>15</v>
      </c>
      <c r="C1421">
        <v>11</v>
      </c>
      <c r="D1421">
        <v>22</v>
      </c>
    </row>
    <row r="1422" spans="1:4" x14ac:dyDescent="0.35">
      <c r="A1422" t="s">
        <v>1573</v>
      </c>
      <c r="B1422">
        <v>219990</v>
      </c>
      <c r="C1422">
        <v>158943</v>
      </c>
      <c r="D1422">
        <v>2</v>
      </c>
    </row>
    <row r="1423" spans="1:4" x14ac:dyDescent="0.35">
      <c r="A1423" t="s">
        <v>1574</v>
      </c>
      <c r="B1423">
        <v>6005</v>
      </c>
      <c r="C1423">
        <v>6005</v>
      </c>
      <c r="D1423">
        <v>7</v>
      </c>
    </row>
    <row r="1424" spans="1:4" x14ac:dyDescent="0.35">
      <c r="A1424" t="s">
        <v>1575</v>
      </c>
      <c r="B1424">
        <v>273326</v>
      </c>
      <c r="C1424">
        <v>270739</v>
      </c>
      <c r="D1424">
        <v>12</v>
      </c>
    </row>
    <row r="1425" spans="1:4" x14ac:dyDescent="0.35">
      <c r="A1425" t="s">
        <v>1576</v>
      </c>
      <c r="B1425">
        <v>3557916</v>
      </c>
      <c r="C1425">
        <v>3420000</v>
      </c>
      <c r="D1425">
        <v>12</v>
      </c>
    </row>
    <row r="1426" spans="1:4" x14ac:dyDescent="0.35">
      <c r="A1426" t="s">
        <v>1577</v>
      </c>
      <c r="B1426">
        <v>499996</v>
      </c>
      <c r="C1426">
        <v>410099</v>
      </c>
      <c r="D1426">
        <v>0</v>
      </c>
    </row>
    <row r="1427" spans="1:4" x14ac:dyDescent="0.35">
      <c r="A1427" t="s">
        <v>1578</v>
      </c>
      <c r="B1427">
        <v>359000</v>
      </c>
      <c r="C1427">
        <v>315000</v>
      </c>
      <c r="D1427">
        <v>1</v>
      </c>
    </row>
    <row r="1428" spans="1:4" x14ac:dyDescent="0.35">
      <c r="A1428" t="s">
        <v>1579</v>
      </c>
      <c r="B1428">
        <v>2927901</v>
      </c>
      <c r="C1428">
        <v>2681250</v>
      </c>
      <c r="D1428">
        <v>1</v>
      </c>
    </row>
    <row r="1429" spans="1:4" x14ac:dyDescent="0.35">
      <c r="A1429" t="s">
        <v>1580</v>
      </c>
      <c r="B1429">
        <v>800000</v>
      </c>
      <c r="C1429">
        <v>727571</v>
      </c>
      <c r="D1429">
        <v>5</v>
      </c>
    </row>
    <row r="1430" spans="1:4" x14ac:dyDescent="0.35">
      <c r="A1430" t="s">
        <v>1581</v>
      </c>
      <c r="B1430">
        <v>3349</v>
      </c>
      <c r="C1430">
        <v>3300</v>
      </c>
      <c r="D1430">
        <v>3845</v>
      </c>
    </row>
    <row r="1431" spans="1:4" x14ac:dyDescent="0.35">
      <c r="A1431" t="s">
        <v>1582</v>
      </c>
      <c r="B1431">
        <v>2217050</v>
      </c>
      <c r="C1431">
        <v>2167000</v>
      </c>
      <c r="D1431">
        <v>58</v>
      </c>
    </row>
    <row r="1432" spans="1:4" x14ac:dyDescent="0.35">
      <c r="A1432" t="s">
        <v>1583</v>
      </c>
      <c r="B1432">
        <v>7237000</v>
      </c>
      <c r="C1432">
        <v>7030049</v>
      </c>
      <c r="D1432">
        <v>9</v>
      </c>
    </row>
    <row r="1433" spans="1:4" x14ac:dyDescent="0.35">
      <c r="A1433" t="s">
        <v>1584</v>
      </c>
      <c r="B1433">
        <v>1605000</v>
      </c>
      <c r="C1433">
        <v>1547000</v>
      </c>
      <c r="D1433">
        <v>19</v>
      </c>
    </row>
    <row r="1434" spans="1:4" x14ac:dyDescent="0.35">
      <c r="A1434" t="s">
        <v>1585</v>
      </c>
      <c r="B1434">
        <v>802903</v>
      </c>
      <c r="C1434">
        <v>792000</v>
      </c>
      <c r="D1434">
        <v>6</v>
      </c>
    </row>
    <row r="1435" spans="1:4" x14ac:dyDescent="0.35">
      <c r="A1435" t="s">
        <v>1586</v>
      </c>
      <c r="B1435">
        <v>835498</v>
      </c>
      <c r="C1435">
        <v>827000</v>
      </c>
      <c r="D1435">
        <v>17</v>
      </c>
    </row>
    <row r="1436" spans="1:4" x14ac:dyDescent="0.35">
      <c r="A1436" t="s">
        <v>1587</v>
      </c>
      <c r="B1436">
        <v>70899</v>
      </c>
      <c r="C1436">
        <v>65266</v>
      </c>
      <c r="D1436">
        <v>2</v>
      </c>
    </row>
    <row r="1437" spans="1:4" x14ac:dyDescent="0.35">
      <c r="A1437" t="s">
        <v>1588</v>
      </c>
      <c r="B1437">
        <v>2381714</v>
      </c>
      <c r="C1437">
        <v>2327777</v>
      </c>
      <c r="D1437">
        <v>16</v>
      </c>
    </row>
    <row r="1438" spans="1:4" x14ac:dyDescent="0.35">
      <c r="A1438" t="s">
        <v>1589</v>
      </c>
      <c r="B1438">
        <v>1507000</v>
      </c>
      <c r="C1438">
        <v>1423948</v>
      </c>
      <c r="D1438">
        <v>5</v>
      </c>
    </row>
    <row r="1439" spans="1:4" x14ac:dyDescent="0.35">
      <c r="A1439" t="s">
        <v>1590</v>
      </c>
      <c r="B1439">
        <v>1100</v>
      </c>
      <c r="C1439">
        <v>1300</v>
      </c>
      <c r="D1439">
        <v>14</v>
      </c>
    </row>
    <row r="1440" spans="1:4" x14ac:dyDescent="0.35">
      <c r="A1440" t="s">
        <v>1591</v>
      </c>
      <c r="B1440">
        <v>52</v>
      </c>
      <c r="C1440">
        <v>52</v>
      </c>
      <c r="D1440">
        <v>4</v>
      </c>
    </row>
    <row r="1441" spans="1:4" x14ac:dyDescent="0.35">
      <c r="A1441" t="s">
        <v>1592</v>
      </c>
      <c r="B1441">
        <v>4953</v>
      </c>
      <c r="C1441">
        <v>4907</v>
      </c>
      <c r="D1441">
        <v>10</v>
      </c>
    </row>
    <row r="1442" spans="1:4" x14ac:dyDescent="0.35">
      <c r="A1442" t="s">
        <v>1593</v>
      </c>
      <c r="B1442">
        <v>139</v>
      </c>
      <c r="C1442">
        <v>139</v>
      </c>
      <c r="D1442">
        <v>25167</v>
      </c>
    </row>
    <row r="1443" spans="1:4" x14ac:dyDescent="0.35">
      <c r="A1443" t="s">
        <v>1594</v>
      </c>
      <c r="B1443">
        <v>35</v>
      </c>
      <c r="C1443">
        <v>34</v>
      </c>
      <c r="D1443">
        <v>13109</v>
      </c>
    </row>
    <row r="1444" spans="1:4" x14ac:dyDescent="0.35">
      <c r="A1444" t="s">
        <v>1595</v>
      </c>
      <c r="B1444">
        <v>140</v>
      </c>
      <c r="C1444">
        <v>178</v>
      </c>
      <c r="D1444">
        <v>0</v>
      </c>
    </row>
    <row r="1445" spans="1:4" x14ac:dyDescent="0.35">
      <c r="A1445" t="s">
        <v>1596</v>
      </c>
      <c r="B1445">
        <v>330</v>
      </c>
      <c r="C1445">
        <v>271</v>
      </c>
      <c r="D1445">
        <v>13</v>
      </c>
    </row>
    <row r="1446" spans="1:4" x14ac:dyDescent="0.35">
      <c r="A1446" t="s">
        <v>1597</v>
      </c>
      <c r="B1446">
        <v>51</v>
      </c>
      <c r="C1446">
        <v>131</v>
      </c>
      <c r="D1446">
        <v>0</v>
      </c>
    </row>
    <row r="1447" spans="1:4" x14ac:dyDescent="0.35">
      <c r="A1447" t="s">
        <v>1598</v>
      </c>
      <c r="B1447">
        <v>203192</v>
      </c>
      <c r="C1447">
        <v>186800</v>
      </c>
      <c r="D1447">
        <v>32</v>
      </c>
    </row>
    <row r="1448" spans="1:4" x14ac:dyDescent="0.35">
      <c r="A1448" t="s">
        <v>1599</v>
      </c>
      <c r="B1448">
        <v>195724</v>
      </c>
      <c r="C1448">
        <v>206018</v>
      </c>
      <c r="D1448">
        <v>39</v>
      </c>
    </row>
    <row r="1449" spans="1:4" x14ac:dyDescent="0.35">
      <c r="A1449" t="s">
        <v>1600</v>
      </c>
      <c r="B1449">
        <v>303696</v>
      </c>
      <c r="C1449">
        <v>239962</v>
      </c>
      <c r="D1449">
        <v>59</v>
      </c>
    </row>
    <row r="1450" spans="1:4" x14ac:dyDescent="0.35">
      <c r="A1450" t="s">
        <v>1601</v>
      </c>
      <c r="B1450">
        <v>100000000</v>
      </c>
      <c r="C1450">
        <v>98000000</v>
      </c>
      <c r="D1450">
        <v>10</v>
      </c>
    </row>
    <row r="1451" spans="1:4" x14ac:dyDescent="0.35">
      <c r="A1451" t="s">
        <v>1602</v>
      </c>
      <c r="B1451">
        <v>214511540</v>
      </c>
      <c r="C1451">
        <v>210000000</v>
      </c>
      <c r="D1451">
        <v>6</v>
      </c>
    </row>
    <row r="1452" spans="1:4" x14ac:dyDescent="0.35">
      <c r="A1452" t="s">
        <v>1603</v>
      </c>
      <c r="B1452">
        <v>408</v>
      </c>
      <c r="C1452">
        <v>2202</v>
      </c>
      <c r="D1452">
        <v>0</v>
      </c>
    </row>
    <row r="1453" spans="1:4" x14ac:dyDescent="0.35">
      <c r="A1453" t="s">
        <v>1604</v>
      </c>
      <c r="B1453">
        <v>605</v>
      </c>
      <c r="C1453">
        <v>581</v>
      </c>
      <c r="D1453">
        <v>6</v>
      </c>
    </row>
    <row r="1454" spans="1:4" x14ac:dyDescent="0.35">
      <c r="A1454" t="s">
        <v>1605</v>
      </c>
      <c r="B1454">
        <v>0</v>
      </c>
      <c r="C1454">
        <v>0</v>
      </c>
      <c r="D1454">
        <v>0</v>
      </c>
    </row>
    <row r="1455" spans="1:4" x14ac:dyDescent="0.35">
      <c r="A1455" t="s">
        <v>1606</v>
      </c>
      <c r="B1455">
        <v>2700</v>
      </c>
      <c r="C1455">
        <v>2659</v>
      </c>
      <c r="D1455">
        <v>8</v>
      </c>
    </row>
    <row r="1456" spans="1:4" x14ac:dyDescent="0.35">
      <c r="A1456" t="s">
        <v>1607</v>
      </c>
      <c r="B1456">
        <v>239</v>
      </c>
      <c r="C1456">
        <v>234</v>
      </c>
      <c r="D1456">
        <v>1</v>
      </c>
    </row>
    <row r="1457" spans="1:4" x14ac:dyDescent="0.35">
      <c r="A1457" t="s">
        <v>1608</v>
      </c>
      <c r="B1457">
        <v>4196142</v>
      </c>
      <c r="C1457">
        <v>4078485</v>
      </c>
      <c r="D1457">
        <v>37</v>
      </c>
    </row>
    <row r="1458" spans="1:4" x14ac:dyDescent="0.35">
      <c r="A1458" t="s">
        <v>1609</v>
      </c>
      <c r="B1458">
        <v>3399</v>
      </c>
      <c r="C1458">
        <v>3201</v>
      </c>
      <c r="D1458">
        <v>23437</v>
      </c>
    </row>
    <row r="1459" spans="1:4" x14ac:dyDescent="0.35">
      <c r="A1459" t="s">
        <v>1610</v>
      </c>
      <c r="B1459">
        <v>522</v>
      </c>
      <c r="C1459">
        <v>510</v>
      </c>
      <c r="D1459">
        <v>302</v>
      </c>
    </row>
    <row r="1460" spans="1:4" x14ac:dyDescent="0.35">
      <c r="A1460" t="s">
        <v>57</v>
      </c>
      <c r="B1460">
        <v>4219</v>
      </c>
      <c r="C1460">
        <v>3400</v>
      </c>
      <c r="D1460">
        <v>318</v>
      </c>
    </row>
    <row r="1461" spans="1:4" x14ac:dyDescent="0.35">
      <c r="A1461" t="s">
        <v>1611</v>
      </c>
      <c r="B1461">
        <v>1</v>
      </c>
      <c r="C1461">
        <v>1</v>
      </c>
      <c r="D1461">
        <v>0</v>
      </c>
    </row>
    <row r="1462" spans="1:4" x14ac:dyDescent="0.35">
      <c r="A1462" t="s">
        <v>1612</v>
      </c>
      <c r="B1462">
        <v>2000</v>
      </c>
      <c r="C1462">
        <v>2000</v>
      </c>
      <c r="D1462">
        <v>0</v>
      </c>
    </row>
    <row r="1463" spans="1:4" x14ac:dyDescent="0.35">
      <c r="A1463" t="s">
        <v>1613</v>
      </c>
      <c r="B1463">
        <v>9826</v>
      </c>
      <c r="C1463">
        <v>8750</v>
      </c>
      <c r="D1463">
        <v>2</v>
      </c>
    </row>
    <row r="1464" spans="1:4" x14ac:dyDescent="0.35">
      <c r="A1464" t="s">
        <v>1614</v>
      </c>
      <c r="B1464">
        <v>6064</v>
      </c>
      <c r="C1464">
        <v>6383</v>
      </c>
      <c r="D1464">
        <v>0</v>
      </c>
    </row>
    <row r="1465" spans="1:4" x14ac:dyDescent="0.35">
      <c r="A1465" t="s">
        <v>1615</v>
      </c>
      <c r="B1465">
        <v>2741254</v>
      </c>
      <c r="C1465">
        <v>2559999</v>
      </c>
      <c r="D1465">
        <v>1</v>
      </c>
    </row>
    <row r="1466" spans="1:4" x14ac:dyDescent="0.35">
      <c r="A1466" t="s">
        <v>1616</v>
      </c>
      <c r="B1466">
        <v>5136</v>
      </c>
      <c r="C1466">
        <v>6000</v>
      </c>
      <c r="D1466">
        <v>0</v>
      </c>
    </row>
    <row r="1467" spans="1:4" x14ac:dyDescent="0.35">
      <c r="A1467" t="s">
        <v>1617</v>
      </c>
      <c r="B1467">
        <v>15000</v>
      </c>
      <c r="C1467">
        <v>790</v>
      </c>
      <c r="D1467">
        <v>0</v>
      </c>
    </row>
    <row r="1468" spans="1:4" x14ac:dyDescent="0.35">
      <c r="A1468" t="s">
        <v>1618</v>
      </c>
      <c r="B1468">
        <v>8353</v>
      </c>
      <c r="C1468">
        <v>8284</v>
      </c>
      <c r="D1468">
        <v>0</v>
      </c>
    </row>
    <row r="1469" spans="1:4" x14ac:dyDescent="0.35">
      <c r="A1469" t="s">
        <v>1619</v>
      </c>
      <c r="B1469">
        <v>9878</v>
      </c>
      <c r="C1469">
        <v>9200</v>
      </c>
      <c r="D1469">
        <v>11</v>
      </c>
    </row>
    <row r="1470" spans="1:4" x14ac:dyDescent="0.35">
      <c r="A1470" t="s">
        <v>1620</v>
      </c>
      <c r="B1470">
        <v>59997</v>
      </c>
      <c r="C1470">
        <v>7865</v>
      </c>
      <c r="D1470">
        <v>0</v>
      </c>
    </row>
    <row r="1471" spans="1:4" x14ac:dyDescent="0.35">
      <c r="A1471" t="s">
        <v>1621</v>
      </c>
      <c r="B1471">
        <v>8000</v>
      </c>
      <c r="C1471">
        <v>1000</v>
      </c>
      <c r="D1471">
        <v>0</v>
      </c>
    </row>
    <row r="1472" spans="1:4" x14ac:dyDescent="0.35">
      <c r="A1472" t="s">
        <v>1622</v>
      </c>
      <c r="B1472">
        <v>535000000</v>
      </c>
      <c r="C1472">
        <v>535000000</v>
      </c>
      <c r="D1472">
        <v>0</v>
      </c>
    </row>
    <row r="1473" spans="1:4" x14ac:dyDescent="0.35">
      <c r="A1473" t="s">
        <v>1623</v>
      </c>
      <c r="B1473">
        <v>538938236</v>
      </c>
      <c r="C1473">
        <v>536430936</v>
      </c>
      <c r="D1473">
        <v>3</v>
      </c>
    </row>
    <row r="1474" spans="1:4" x14ac:dyDescent="0.35">
      <c r="A1474" t="s">
        <v>1624</v>
      </c>
      <c r="B1474">
        <v>534</v>
      </c>
      <c r="C1474">
        <v>518</v>
      </c>
      <c r="D1474">
        <v>16047</v>
      </c>
    </row>
    <row r="1475" spans="1:4" x14ac:dyDescent="0.35">
      <c r="A1475" t="s">
        <v>1625</v>
      </c>
      <c r="B1475">
        <v>742</v>
      </c>
      <c r="C1475">
        <v>735</v>
      </c>
      <c r="D1475">
        <v>1764</v>
      </c>
    </row>
    <row r="1476" spans="1:4" x14ac:dyDescent="0.35">
      <c r="A1476" t="s">
        <v>1626</v>
      </c>
      <c r="B1476">
        <v>660</v>
      </c>
      <c r="C1476">
        <v>653</v>
      </c>
      <c r="D1476">
        <v>0</v>
      </c>
    </row>
    <row r="1477" spans="1:4" x14ac:dyDescent="0.35">
      <c r="A1477" t="s">
        <v>1627</v>
      </c>
      <c r="B1477">
        <v>56</v>
      </c>
      <c r="C1477">
        <v>51</v>
      </c>
      <c r="D1477">
        <v>1681</v>
      </c>
    </row>
    <row r="1478" spans="1:4" x14ac:dyDescent="0.35">
      <c r="A1478" t="s">
        <v>1628</v>
      </c>
      <c r="B1478">
        <v>97</v>
      </c>
      <c r="C1478">
        <v>89</v>
      </c>
      <c r="D1478">
        <v>5419</v>
      </c>
    </row>
    <row r="1479" spans="1:4" x14ac:dyDescent="0.35">
      <c r="A1479" t="s">
        <v>1629</v>
      </c>
      <c r="B1479">
        <v>21</v>
      </c>
      <c r="C1479">
        <v>21</v>
      </c>
      <c r="D1479">
        <v>10170</v>
      </c>
    </row>
    <row r="1480" spans="1:4" x14ac:dyDescent="0.35">
      <c r="A1480" t="s">
        <v>1630</v>
      </c>
      <c r="B1480">
        <v>715</v>
      </c>
      <c r="C1480">
        <v>712</v>
      </c>
      <c r="D1480">
        <v>463</v>
      </c>
    </row>
    <row r="1481" spans="1:4" x14ac:dyDescent="0.35">
      <c r="A1481" t="s">
        <v>1631</v>
      </c>
      <c r="B1481">
        <v>3000</v>
      </c>
      <c r="C1481">
        <v>3079</v>
      </c>
      <c r="D1481">
        <v>0</v>
      </c>
    </row>
    <row r="1482" spans="1:4" x14ac:dyDescent="0.35">
      <c r="A1482" t="s">
        <v>1632</v>
      </c>
      <c r="B1482">
        <v>2294</v>
      </c>
      <c r="C1482">
        <v>2004</v>
      </c>
      <c r="D1482">
        <v>0</v>
      </c>
    </row>
    <row r="1483" spans="1:4" x14ac:dyDescent="0.35">
      <c r="A1483" t="s">
        <v>1633</v>
      </c>
      <c r="B1483">
        <v>740</v>
      </c>
      <c r="C1483">
        <v>719</v>
      </c>
      <c r="D1483">
        <v>65169</v>
      </c>
    </row>
    <row r="1484" spans="1:4" x14ac:dyDescent="0.35">
      <c r="A1484" t="s">
        <v>1634</v>
      </c>
      <c r="B1484">
        <v>661</v>
      </c>
      <c r="C1484">
        <v>659</v>
      </c>
      <c r="D1484">
        <v>905</v>
      </c>
    </row>
    <row r="1485" spans="1:4" x14ac:dyDescent="0.35">
      <c r="A1485" t="s">
        <v>1635</v>
      </c>
      <c r="B1485">
        <v>5</v>
      </c>
      <c r="C1485">
        <v>5</v>
      </c>
      <c r="D1485">
        <v>386</v>
      </c>
    </row>
    <row r="1486" spans="1:4" x14ac:dyDescent="0.35">
      <c r="A1486" t="s">
        <v>1636</v>
      </c>
      <c r="B1486">
        <v>5</v>
      </c>
      <c r="C1486">
        <v>5</v>
      </c>
      <c r="D1486">
        <v>19</v>
      </c>
    </row>
    <row r="1487" spans="1:4" x14ac:dyDescent="0.35">
      <c r="A1487" t="s">
        <v>1637</v>
      </c>
      <c r="B1487">
        <v>50</v>
      </c>
      <c r="C1487">
        <v>50</v>
      </c>
      <c r="D1487">
        <v>28</v>
      </c>
    </row>
    <row r="1488" spans="1:4" x14ac:dyDescent="0.35">
      <c r="A1488" t="s">
        <v>1638</v>
      </c>
      <c r="B1488">
        <v>3</v>
      </c>
      <c r="C1488">
        <v>2</v>
      </c>
      <c r="D1488">
        <v>178</v>
      </c>
    </row>
    <row r="1489" spans="1:4" x14ac:dyDescent="0.35">
      <c r="A1489" t="s">
        <v>1639</v>
      </c>
      <c r="B1489">
        <v>500</v>
      </c>
      <c r="C1489">
        <v>23</v>
      </c>
      <c r="D1489">
        <v>0</v>
      </c>
    </row>
    <row r="1490" spans="1:4" x14ac:dyDescent="0.35">
      <c r="A1490" t="s">
        <v>1640</v>
      </c>
      <c r="B1490">
        <v>6</v>
      </c>
      <c r="C1490">
        <v>6</v>
      </c>
      <c r="D1490">
        <v>886</v>
      </c>
    </row>
    <row r="1491" spans="1:4" x14ac:dyDescent="0.35">
      <c r="A1491" t="s">
        <v>1641</v>
      </c>
      <c r="B1491">
        <v>1</v>
      </c>
      <c r="C1491">
        <v>1</v>
      </c>
      <c r="D1491">
        <v>10179</v>
      </c>
    </row>
    <row r="1492" spans="1:4" x14ac:dyDescent="0.35">
      <c r="A1492" t="s">
        <v>1642</v>
      </c>
      <c r="B1492">
        <v>180</v>
      </c>
      <c r="C1492">
        <v>50</v>
      </c>
      <c r="D1492">
        <v>0</v>
      </c>
    </row>
    <row r="1493" spans="1:4" x14ac:dyDescent="0.35">
      <c r="A1493" t="s">
        <v>1643</v>
      </c>
      <c r="B1493">
        <v>4361</v>
      </c>
      <c r="C1493">
        <v>359</v>
      </c>
      <c r="D1493">
        <v>0</v>
      </c>
    </row>
    <row r="1494" spans="1:4" x14ac:dyDescent="0.35">
      <c r="A1494" t="s">
        <v>1644</v>
      </c>
      <c r="B1494">
        <v>801</v>
      </c>
      <c r="C1494">
        <v>250</v>
      </c>
      <c r="D1494">
        <v>0</v>
      </c>
    </row>
    <row r="1495" spans="1:4" x14ac:dyDescent="0.35">
      <c r="A1495" t="s">
        <v>1645</v>
      </c>
      <c r="B1495">
        <v>300</v>
      </c>
      <c r="C1495">
        <v>10</v>
      </c>
      <c r="D1495">
        <v>0</v>
      </c>
    </row>
    <row r="1496" spans="1:4" x14ac:dyDescent="0.35">
      <c r="A1496" t="s">
        <v>1646</v>
      </c>
      <c r="B1496">
        <v>747</v>
      </c>
      <c r="C1496">
        <v>500</v>
      </c>
      <c r="D1496">
        <v>202</v>
      </c>
    </row>
    <row r="1497" spans="1:4" x14ac:dyDescent="0.35">
      <c r="A1497" t="s">
        <v>1647</v>
      </c>
      <c r="B1497">
        <v>73</v>
      </c>
      <c r="C1497">
        <v>50</v>
      </c>
      <c r="D1497">
        <v>2</v>
      </c>
    </row>
    <row r="1498" spans="1:4" x14ac:dyDescent="0.35">
      <c r="A1498" t="s">
        <v>1648</v>
      </c>
      <c r="B1498">
        <v>27500</v>
      </c>
      <c r="C1498">
        <v>8110</v>
      </c>
      <c r="D1498">
        <v>4</v>
      </c>
    </row>
    <row r="1499" spans="1:4" x14ac:dyDescent="0.35">
      <c r="A1499" t="s">
        <v>1649</v>
      </c>
      <c r="B1499">
        <v>48783</v>
      </c>
      <c r="C1499">
        <v>46750</v>
      </c>
      <c r="D1499">
        <v>8</v>
      </c>
    </row>
    <row r="1500" spans="1:4" x14ac:dyDescent="0.35">
      <c r="A1500" t="s">
        <v>1650</v>
      </c>
      <c r="B1500">
        <v>73043</v>
      </c>
      <c r="C1500">
        <v>69483</v>
      </c>
      <c r="D1500">
        <v>3</v>
      </c>
    </row>
    <row r="1501" spans="1:4" x14ac:dyDescent="0.35">
      <c r="A1501" t="s">
        <v>1651</v>
      </c>
      <c r="B1501">
        <v>290</v>
      </c>
      <c r="C1501">
        <v>445</v>
      </c>
      <c r="D1501">
        <v>0</v>
      </c>
    </row>
    <row r="1502" spans="1:4" x14ac:dyDescent="0.35">
      <c r="A1502" t="s">
        <v>1652</v>
      </c>
      <c r="B1502">
        <v>117</v>
      </c>
      <c r="C1502">
        <v>3</v>
      </c>
      <c r="D1502">
        <v>0</v>
      </c>
    </row>
    <row r="1503" spans="1:4" x14ac:dyDescent="0.35">
      <c r="A1503" t="s">
        <v>1653</v>
      </c>
      <c r="B1503">
        <v>52</v>
      </c>
      <c r="C1503">
        <v>52</v>
      </c>
      <c r="D1503">
        <v>0</v>
      </c>
    </row>
    <row r="1504" spans="1:4" x14ac:dyDescent="0.35">
      <c r="A1504" t="s">
        <v>1654</v>
      </c>
      <c r="B1504">
        <v>92</v>
      </c>
      <c r="C1504">
        <v>93</v>
      </c>
      <c r="D1504">
        <v>1</v>
      </c>
    </row>
    <row r="1505" spans="1:4" x14ac:dyDescent="0.35">
      <c r="A1505" t="s">
        <v>1655</v>
      </c>
      <c r="B1505">
        <v>90</v>
      </c>
      <c r="C1505">
        <v>90</v>
      </c>
      <c r="D1505">
        <v>998</v>
      </c>
    </row>
    <row r="1506" spans="1:4" x14ac:dyDescent="0.35">
      <c r="A1506" t="s">
        <v>1656</v>
      </c>
      <c r="B1506">
        <v>129</v>
      </c>
      <c r="C1506">
        <v>129</v>
      </c>
      <c r="D1506">
        <v>4601</v>
      </c>
    </row>
    <row r="1507" spans="1:4" x14ac:dyDescent="0.35">
      <c r="A1507" t="s">
        <v>1657</v>
      </c>
      <c r="B1507">
        <v>2159995</v>
      </c>
      <c r="C1507">
        <v>2125307</v>
      </c>
      <c r="D1507">
        <v>184</v>
      </c>
    </row>
    <row r="1508" spans="1:4" x14ac:dyDescent="0.35">
      <c r="A1508" t="s">
        <v>1658</v>
      </c>
      <c r="B1508">
        <v>167499999</v>
      </c>
      <c r="C1508">
        <v>163250000</v>
      </c>
      <c r="D1508">
        <v>2</v>
      </c>
    </row>
    <row r="1509" spans="1:4" x14ac:dyDescent="0.35">
      <c r="A1509" t="s">
        <v>1659</v>
      </c>
      <c r="B1509">
        <v>29000</v>
      </c>
      <c r="C1509">
        <v>28164</v>
      </c>
      <c r="D1509">
        <v>7</v>
      </c>
    </row>
    <row r="1510" spans="1:4" x14ac:dyDescent="0.35">
      <c r="A1510" t="s">
        <v>1660</v>
      </c>
      <c r="B1510">
        <v>2159</v>
      </c>
      <c r="C1510">
        <v>2060</v>
      </c>
      <c r="D1510">
        <v>518</v>
      </c>
    </row>
    <row r="1511" spans="1:4" x14ac:dyDescent="0.35">
      <c r="A1511" t="s">
        <v>1661</v>
      </c>
      <c r="B1511">
        <v>1890</v>
      </c>
      <c r="C1511">
        <v>1600</v>
      </c>
      <c r="D1511">
        <v>12</v>
      </c>
    </row>
    <row r="1512" spans="1:4" x14ac:dyDescent="0.35">
      <c r="A1512" t="s">
        <v>1662</v>
      </c>
      <c r="B1512">
        <v>365</v>
      </c>
      <c r="C1512">
        <v>384</v>
      </c>
      <c r="D1512">
        <v>0</v>
      </c>
    </row>
    <row r="1513" spans="1:4" x14ac:dyDescent="0.35">
      <c r="A1513" t="s">
        <v>1663</v>
      </c>
      <c r="B1513">
        <v>1150</v>
      </c>
      <c r="C1513">
        <v>1150</v>
      </c>
      <c r="D1513">
        <v>176</v>
      </c>
    </row>
    <row r="1514" spans="1:4" x14ac:dyDescent="0.35">
      <c r="A1514" t="s">
        <v>1664</v>
      </c>
      <c r="B1514">
        <v>168</v>
      </c>
      <c r="C1514">
        <v>168</v>
      </c>
      <c r="D1514">
        <v>18</v>
      </c>
    </row>
    <row r="1515" spans="1:4" x14ac:dyDescent="0.35">
      <c r="A1515" t="s">
        <v>1665</v>
      </c>
      <c r="B1515">
        <v>900</v>
      </c>
      <c r="C1515">
        <v>800</v>
      </c>
      <c r="D1515">
        <v>40</v>
      </c>
    </row>
    <row r="1516" spans="1:4" x14ac:dyDescent="0.35">
      <c r="A1516" t="s">
        <v>1666</v>
      </c>
      <c r="B1516">
        <v>1904</v>
      </c>
      <c r="C1516">
        <v>1904</v>
      </c>
      <c r="D1516">
        <v>114</v>
      </c>
    </row>
    <row r="1517" spans="1:4" x14ac:dyDescent="0.35">
      <c r="A1517" t="s">
        <v>1667</v>
      </c>
      <c r="B1517">
        <v>600</v>
      </c>
      <c r="C1517">
        <v>600</v>
      </c>
      <c r="D1517">
        <v>19</v>
      </c>
    </row>
    <row r="1518" spans="1:4" x14ac:dyDescent="0.35">
      <c r="A1518" t="s">
        <v>1668</v>
      </c>
      <c r="B1518">
        <v>3850</v>
      </c>
      <c r="C1518">
        <v>3735</v>
      </c>
      <c r="D1518">
        <v>7140</v>
      </c>
    </row>
    <row r="1519" spans="1:4" x14ac:dyDescent="0.35">
      <c r="A1519" t="s">
        <v>1669</v>
      </c>
      <c r="B1519">
        <v>1396</v>
      </c>
      <c r="C1519">
        <v>1050</v>
      </c>
      <c r="D1519">
        <v>152</v>
      </c>
    </row>
    <row r="1520" spans="1:4" x14ac:dyDescent="0.35">
      <c r="A1520" t="s">
        <v>1670</v>
      </c>
      <c r="B1520">
        <v>450</v>
      </c>
      <c r="C1520">
        <v>450</v>
      </c>
      <c r="D1520">
        <v>71</v>
      </c>
    </row>
    <row r="1521" spans="1:4" x14ac:dyDescent="0.35">
      <c r="A1521" t="s">
        <v>1671</v>
      </c>
      <c r="B1521">
        <v>73</v>
      </c>
      <c r="C1521">
        <v>51</v>
      </c>
      <c r="D1521">
        <v>0</v>
      </c>
    </row>
    <row r="1522" spans="1:4" x14ac:dyDescent="0.35">
      <c r="A1522" t="s">
        <v>1672</v>
      </c>
      <c r="B1522">
        <v>2487</v>
      </c>
      <c r="C1522">
        <v>2303</v>
      </c>
      <c r="D1522">
        <v>523</v>
      </c>
    </row>
    <row r="1523" spans="1:4" x14ac:dyDescent="0.35">
      <c r="A1523" t="s">
        <v>1673</v>
      </c>
      <c r="B1523">
        <v>615</v>
      </c>
      <c r="C1523">
        <v>1287</v>
      </c>
      <c r="D1523">
        <v>21</v>
      </c>
    </row>
    <row r="1524" spans="1:4" x14ac:dyDescent="0.35">
      <c r="A1524" t="s">
        <v>1674</v>
      </c>
      <c r="B1524">
        <v>2000</v>
      </c>
      <c r="C1524">
        <v>2000</v>
      </c>
      <c r="D1524">
        <v>1</v>
      </c>
    </row>
    <row r="1525" spans="1:4" x14ac:dyDescent="0.35">
      <c r="A1525" t="s">
        <v>1675</v>
      </c>
      <c r="B1525">
        <v>901</v>
      </c>
      <c r="C1525">
        <v>558</v>
      </c>
      <c r="D1525">
        <v>32</v>
      </c>
    </row>
    <row r="1526" spans="1:4" x14ac:dyDescent="0.35">
      <c r="A1526" t="s">
        <v>1676</v>
      </c>
      <c r="B1526">
        <v>555</v>
      </c>
      <c r="C1526">
        <v>304</v>
      </c>
      <c r="D1526">
        <v>0</v>
      </c>
    </row>
    <row r="1527" spans="1:4" x14ac:dyDescent="0.35">
      <c r="A1527" t="s">
        <v>1677</v>
      </c>
      <c r="B1527">
        <v>641</v>
      </c>
      <c r="C1527">
        <v>641</v>
      </c>
      <c r="D1527">
        <v>2</v>
      </c>
    </row>
    <row r="1528" spans="1:4" x14ac:dyDescent="0.35">
      <c r="A1528" t="s">
        <v>1678</v>
      </c>
      <c r="B1528">
        <v>432</v>
      </c>
      <c r="C1528">
        <v>8641</v>
      </c>
      <c r="D1528">
        <v>39</v>
      </c>
    </row>
    <row r="1529" spans="1:4" x14ac:dyDescent="0.35">
      <c r="A1529" t="s">
        <v>1679</v>
      </c>
      <c r="B1529">
        <v>362</v>
      </c>
      <c r="C1529">
        <v>325</v>
      </c>
      <c r="D1529">
        <v>5</v>
      </c>
    </row>
    <row r="1530" spans="1:4" x14ac:dyDescent="0.35">
      <c r="A1530" t="s">
        <v>1680</v>
      </c>
      <c r="B1530">
        <v>507</v>
      </c>
      <c r="C1530">
        <v>513</v>
      </c>
      <c r="D1530">
        <v>79</v>
      </c>
    </row>
    <row r="1531" spans="1:4" x14ac:dyDescent="0.35">
      <c r="A1531" t="s">
        <v>1681</v>
      </c>
      <c r="B1531">
        <v>1988</v>
      </c>
      <c r="C1531">
        <v>1988</v>
      </c>
      <c r="D1531">
        <v>0</v>
      </c>
    </row>
    <row r="1532" spans="1:4" x14ac:dyDescent="0.35">
      <c r="A1532" t="s">
        <v>1682</v>
      </c>
      <c r="B1532">
        <v>496</v>
      </c>
      <c r="C1532">
        <v>10</v>
      </c>
      <c r="D1532">
        <v>0</v>
      </c>
    </row>
    <row r="1533" spans="1:4" x14ac:dyDescent="0.35">
      <c r="A1533" t="s">
        <v>1683</v>
      </c>
      <c r="B1533">
        <v>6439</v>
      </c>
      <c r="C1533">
        <v>6439</v>
      </c>
      <c r="D1533">
        <v>406</v>
      </c>
    </row>
    <row r="1534" spans="1:4" x14ac:dyDescent="0.35">
      <c r="A1534" t="s">
        <v>1684</v>
      </c>
      <c r="B1534">
        <v>216</v>
      </c>
      <c r="C1534">
        <v>200</v>
      </c>
      <c r="D1534">
        <v>14</v>
      </c>
    </row>
    <row r="1535" spans="1:4" x14ac:dyDescent="0.35">
      <c r="A1535" t="s">
        <v>1685</v>
      </c>
      <c r="B1535">
        <v>2089</v>
      </c>
      <c r="C1535">
        <v>2076</v>
      </c>
      <c r="D1535">
        <v>48</v>
      </c>
    </row>
    <row r="1536" spans="1:4" x14ac:dyDescent="0.35">
      <c r="A1536" t="s">
        <v>1686</v>
      </c>
      <c r="B1536">
        <v>5494558</v>
      </c>
      <c r="C1536">
        <v>5349080</v>
      </c>
      <c r="D1536">
        <v>50</v>
      </c>
    </row>
    <row r="1537" spans="1:4" x14ac:dyDescent="0.35">
      <c r="A1537" t="s">
        <v>1687</v>
      </c>
      <c r="B1537">
        <v>4900000</v>
      </c>
      <c r="C1537">
        <v>4851444</v>
      </c>
      <c r="D1537">
        <v>1</v>
      </c>
    </row>
    <row r="1538" spans="1:4" x14ac:dyDescent="0.35">
      <c r="A1538" t="s">
        <v>1688</v>
      </c>
      <c r="B1538">
        <v>8264125</v>
      </c>
      <c r="C1538">
        <v>7959257</v>
      </c>
      <c r="D1538">
        <v>5</v>
      </c>
    </row>
    <row r="1539" spans="1:4" x14ac:dyDescent="0.35">
      <c r="A1539" t="s">
        <v>1689</v>
      </c>
      <c r="B1539">
        <v>250000</v>
      </c>
      <c r="C1539">
        <v>190000</v>
      </c>
      <c r="D1539">
        <v>0</v>
      </c>
    </row>
    <row r="1540" spans="1:4" x14ac:dyDescent="0.35">
      <c r="A1540" t="s">
        <v>1690</v>
      </c>
      <c r="B1540">
        <v>204179</v>
      </c>
      <c r="C1540">
        <v>170000</v>
      </c>
      <c r="D1540">
        <v>0</v>
      </c>
    </row>
    <row r="1541" spans="1:4" x14ac:dyDescent="0.35">
      <c r="A1541" t="s">
        <v>1691</v>
      </c>
      <c r="B1541">
        <v>448532</v>
      </c>
      <c r="C1541">
        <v>355927</v>
      </c>
      <c r="D1541">
        <v>0</v>
      </c>
    </row>
    <row r="1542" spans="1:4" x14ac:dyDescent="0.35">
      <c r="A1542" t="s">
        <v>1692</v>
      </c>
      <c r="B1542">
        <v>120000</v>
      </c>
      <c r="C1542">
        <v>79806</v>
      </c>
      <c r="D1542">
        <v>0</v>
      </c>
    </row>
    <row r="1543" spans="1:4" x14ac:dyDescent="0.35">
      <c r="A1543" t="s">
        <v>1693</v>
      </c>
      <c r="B1543">
        <v>999</v>
      </c>
      <c r="C1543">
        <v>960</v>
      </c>
      <c r="D1543">
        <v>2133</v>
      </c>
    </row>
    <row r="1544" spans="1:4" x14ac:dyDescent="0.35">
      <c r="A1544" t="s">
        <v>1694</v>
      </c>
      <c r="B1544">
        <v>23499</v>
      </c>
      <c r="C1544">
        <v>17435</v>
      </c>
      <c r="D1544">
        <v>1</v>
      </c>
    </row>
    <row r="1545" spans="1:4" x14ac:dyDescent="0.35">
      <c r="A1545" t="s">
        <v>1695</v>
      </c>
      <c r="B1545">
        <v>4874</v>
      </c>
      <c r="C1545">
        <v>4243</v>
      </c>
      <c r="D1545">
        <v>5</v>
      </c>
    </row>
    <row r="1546" spans="1:4" x14ac:dyDescent="0.35">
      <c r="A1546" t="s">
        <v>1696</v>
      </c>
      <c r="B1546">
        <v>8756</v>
      </c>
      <c r="C1546">
        <v>8701</v>
      </c>
      <c r="D1546">
        <v>4</v>
      </c>
    </row>
    <row r="1547" spans="1:4" x14ac:dyDescent="0.35">
      <c r="A1547" t="s">
        <v>1697</v>
      </c>
      <c r="B1547">
        <v>14000</v>
      </c>
      <c r="C1547">
        <v>12950</v>
      </c>
      <c r="D1547">
        <v>21</v>
      </c>
    </row>
    <row r="1548" spans="1:4" x14ac:dyDescent="0.35">
      <c r="A1548" t="s">
        <v>47</v>
      </c>
      <c r="B1548">
        <v>17900</v>
      </c>
      <c r="C1548">
        <v>17285</v>
      </c>
      <c r="D1548">
        <v>2458</v>
      </c>
    </row>
    <row r="1549" spans="1:4" x14ac:dyDescent="0.35">
      <c r="A1549" t="s">
        <v>1698</v>
      </c>
      <c r="B1549">
        <v>355</v>
      </c>
      <c r="C1549">
        <v>391</v>
      </c>
      <c r="D1549">
        <v>0</v>
      </c>
    </row>
    <row r="1550" spans="1:4" x14ac:dyDescent="0.35">
      <c r="A1550" t="s">
        <v>1699</v>
      </c>
      <c r="B1550">
        <v>375</v>
      </c>
      <c r="C1550">
        <v>350</v>
      </c>
      <c r="D1550">
        <v>0</v>
      </c>
    </row>
    <row r="1551" spans="1:4" x14ac:dyDescent="0.35">
      <c r="A1551" t="s">
        <v>1700</v>
      </c>
      <c r="B1551">
        <v>244</v>
      </c>
      <c r="C1551">
        <v>244</v>
      </c>
      <c r="D1551">
        <v>4236</v>
      </c>
    </row>
    <row r="1552" spans="1:4" x14ac:dyDescent="0.35">
      <c r="A1552" t="s">
        <v>1701</v>
      </c>
      <c r="B1552">
        <v>490</v>
      </c>
      <c r="C1552">
        <v>407</v>
      </c>
      <c r="D1552">
        <v>912</v>
      </c>
    </row>
    <row r="1553" spans="1:4" x14ac:dyDescent="0.35">
      <c r="A1553" t="s">
        <v>1702</v>
      </c>
      <c r="B1553">
        <v>847</v>
      </c>
      <c r="C1553">
        <v>553</v>
      </c>
      <c r="D1553">
        <v>1</v>
      </c>
    </row>
    <row r="1554" spans="1:4" x14ac:dyDescent="0.35">
      <c r="A1554" t="s">
        <v>145</v>
      </c>
      <c r="B1554">
        <v>781</v>
      </c>
      <c r="C1554">
        <v>781</v>
      </c>
      <c r="D1554">
        <v>3972</v>
      </c>
    </row>
    <row r="1555" spans="1:4" x14ac:dyDescent="0.35">
      <c r="A1555" t="s">
        <v>1703</v>
      </c>
      <c r="B1555">
        <v>3229</v>
      </c>
      <c r="C1555">
        <v>2894</v>
      </c>
      <c r="D1555">
        <v>151</v>
      </c>
    </row>
    <row r="1556" spans="1:4" x14ac:dyDescent="0.35">
      <c r="A1556" t="s">
        <v>1704</v>
      </c>
      <c r="B1556">
        <v>5615</v>
      </c>
      <c r="C1556">
        <v>5378</v>
      </c>
      <c r="D1556">
        <v>24</v>
      </c>
    </row>
    <row r="1557" spans="1:4" x14ac:dyDescent="0.35">
      <c r="A1557" t="s">
        <v>1705</v>
      </c>
      <c r="B1557">
        <v>9095</v>
      </c>
      <c r="C1557">
        <v>8088</v>
      </c>
      <c r="D1557">
        <v>1</v>
      </c>
    </row>
    <row r="1558" spans="1:4" x14ac:dyDescent="0.35">
      <c r="A1558" t="s">
        <v>94</v>
      </c>
      <c r="B1558">
        <v>12250</v>
      </c>
      <c r="C1558">
        <v>12000</v>
      </c>
      <c r="D1558">
        <v>3318</v>
      </c>
    </row>
    <row r="1559" spans="1:4" x14ac:dyDescent="0.35">
      <c r="A1559" t="s">
        <v>1706</v>
      </c>
      <c r="B1559">
        <v>48912</v>
      </c>
      <c r="C1559">
        <v>2678</v>
      </c>
      <c r="D1559">
        <v>0</v>
      </c>
    </row>
    <row r="1560" spans="1:4" x14ac:dyDescent="0.35">
      <c r="A1560" t="s">
        <v>1707</v>
      </c>
      <c r="B1560">
        <v>200000</v>
      </c>
      <c r="C1560">
        <v>86282</v>
      </c>
      <c r="D1560">
        <v>0</v>
      </c>
    </row>
    <row r="1561" spans="1:4" x14ac:dyDescent="0.35">
      <c r="A1561" t="s">
        <v>1708</v>
      </c>
      <c r="B1561">
        <v>6675</v>
      </c>
      <c r="C1561">
        <v>5773</v>
      </c>
      <c r="D1561">
        <v>2</v>
      </c>
    </row>
    <row r="1562" spans="1:4" x14ac:dyDescent="0.35">
      <c r="A1562" t="s">
        <v>1709</v>
      </c>
      <c r="B1562">
        <v>11908</v>
      </c>
      <c r="C1562">
        <v>19264</v>
      </c>
      <c r="D1562">
        <v>3</v>
      </c>
    </row>
    <row r="1563" spans="1:4" x14ac:dyDescent="0.35">
      <c r="A1563" t="s">
        <v>1710</v>
      </c>
      <c r="B1563">
        <v>18918</v>
      </c>
      <c r="C1563">
        <v>15500</v>
      </c>
      <c r="D1563">
        <v>10</v>
      </c>
    </row>
    <row r="1564" spans="1:4" x14ac:dyDescent="0.35">
      <c r="A1564" t="s">
        <v>59</v>
      </c>
      <c r="B1564">
        <v>24429</v>
      </c>
      <c r="C1564">
        <v>23659</v>
      </c>
      <c r="D1564">
        <v>3043</v>
      </c>
    </row>
    <row r="1565" spans="1:4" x14ac:dyDescent="0.35">
      <c r="A1565" t="s">
        <v>1711</v>
      </c>
      <c r="B1565">
        <v>432</v>
      </c>
      <c r="C1565">
        <v>1250</v>
      </c>
      <c r="D1565">
        <v>0</v>
      </c>
    </row>
    <row r="1566" spans="1:4" x14ac:dyDescent="0.35">
      <c r="A1566" t="s">
        <v>1712</v>
      </c>
      <c r="B1566">
        <v>1100</v>
      </c>
      <c r="C1566">
        <v>250</v>
      </c>
      <c r="D1566">
        <v>0</v>
      </c>
    </row>
    <row r="1567" spans="1:4" x14ac:dyDescent="0.35">
      <c r="A1567" t="s">
        <v>1713</v>
      </c>
      <c r="B1567">
        <v>2000</v>
      </c>
      <c r="C1567">
        <v>1025</v>
      </c>
      <c r="D1567">
        <v>0</v>
      </c>
    </row>
    <row r="1568" spans="1:4" x14ac:dyDescent="0.35">
      <c r="A1568" t="s">
        <v>136</v>
      </c>
      <c r="B1568">
        <v>2000</v>
      </c>
      <c r="C1568">
        <v>1617</v>
      </c>
      <c r="D1568">
        <v>338</v>
      </c>
    </row>
    <row r="1569" spans="1:4" x14ac:dyDescent="0.35">
      <c r="A1569" t="s">
        <v>1714</v>
      </c>
      <c r="B1569">
        <v>71494002</v>
      </c>
      <c r="C1569">
        <v>69832708</v>
      </c>
      <c r="D1569">
        <v>30</v>
      </c>
    </row>
    <row r="1570" spans="1:4" x14ac:dyDescent="0.35">
      <c r="A1570" t="s">
        <v>103</v>
      </c>
      <c r="B1570">
        <v>4</v>
      </c>
      <c r="C1570">
        <v>4</v>
      </c>
      <c r="D1570">
        <v>28757</v>
      </c>
    </row>
    <row r="1571" spans="1:4" x14ac:dyDescent="0.35">
      <c r="A1571" t="s">
        <v>1715</v>
      </c>
      <c r="B1571">
        <v>212</v>
      </c>
      <c r="C1571">
        <v>125</v>
      </c>
      <c r="D1571">
        <v>9</v>
      </c>
    </row>
    <row r="1572" spans="1:4" x14ac:dyDescent="0.35">
      <c r="A1572" t="s">
        <v>1716</v>
      </c>
      <c r="B1572">
        <v>33705</v>
      </c>
      <c r="C1572">
        <v>33707</v>
      </c>
      <c r="D1572">
        <v>263</v>
      </c>
    </row>
    <row r="1573" spans="1:4" x14ac:dyDescent="0.35">
      <c r="A1573" t="s">
        <v>1717</v>
      </c>
      <c r="B1573">
        <v>1030</v>
      </c>
      <c r="C1573">
        <v>1000</v>
      </c>
      <c r="D1573">
        <v>1</v>
      </c>
    </row>
    <row r="1574" spans="1:4" x14ac:dyDescent="0.35">
      <c r="A1574" t="s">
        <v>1718</v>
      </c>
      <c r="B1574">
        <v>676</v>
      </c>
      <c r="C1574">
        <v>655</v>
      </c>
      <c r="D1574">
        <v>4481</v>
      </c>
    </row>
    <row r="1575" spans="1:4" x14ac:dyDescent="0.35">
      <c r="A1575" t="s">
        <v>1719</v>
      </c>
      <c r="B1575">
        <v>35000</v>
      </c>
      <c r="C1575">
        <v>30085</v>
      </c>
      <c r="D1575">
        <v>4</v>
      </c>
    </row>
    <row r="1576" spans="1:4" x14ac:dyDescent="0.35">
      <c r="A1576" t="s">
        <v>1720</v>
      </c>
      <c r="B1576">
        <v>360</v>
      </c>
      <c r="C1576">
        <v>415</v>
      </c>
      <c r="D1576">
        <v>0</v>
      </c>
    </row>
    <row r="1577" spans="1:4" x14ac:dyDescent="0.35">
      <c r="A1577" t="s">
        <v>1721</v>
      </c>
      <c r="B1577">
        <v>8219</v>
      </c>
      <c r="C1577">
        <v>8000</v>
      </c>
      <c r="D1577">
        <v>0</v>
      </c>
    </row>
    <row r="1578" spans="1:4" x14ac:dyDescent="0.35">
      <c r="A1578" t="s">
        <v>1722</v>
      </c>
      <c r="B1578">
        <v>46999</v>
      </c>
      <c r="C1578">
        <v>45806</v>
      </c>
      <c r="D1578">
        <v>15</v>
      </c>
    </row>
    <row r="1579" spans="1:4" x14ac:dyDescent="0.35">
      <c r="A1579" t="s">
        <v>1723</v>
      </c>
      <c r="B1579">
        <v>41499</v>
      </c>
      <c r="C1579">
        <v>39000</v>
      </c>
      <c r="D1579">
        <v>31</v>
      </c>
    </row>
    <row r="1580" spans="1:4" x14ac:dyDescent="0.35">
      <c r="A1580" t="s">
        <v>1724</v>
      </c>
      <c r="B1580">
        <v>2812</v>
      </c>
      <c r="C1580">
        <v>2060</v>
      </c>
      <c r="D1580">
        <v>10</v>
      </c>
    </row>
    <row r="1581" spans="1:4" x14ac:dyDescent="0.35">
      <c r="A1581" t="s">
        <v>1725</v>
      </c>
      <c r="B1581">
        <v>2411</v>
      </c>
      <c r="C1581">
        <v>2537</v>
      </c>
      <c r="D1581">
        <v>19</v>
      </c>
    </row>
    <row r="1582" spans="1:4" x14ac:dyDescent="0.35">
      <c r="A1582" t="s">
        <v>1726</v>
      </c>
      <c r="B1582">
        <v>3268</v>
      </c>
      <c r="C1582">
        <v>3101</v>
      </c>
      <c r="D1582">
        <v>0</v>
      </c>
    </row>
    <row r="1583" spans="1:4" x14ac:dyDescent="0.35">
      <c r="A1583" t="s">
        <v>1727</v>
      </c>
      <c r="B1583">
        <v>3</v>
      </c>
      <c r="C1583">
        <v>2</v>
      </c>
      <c r="D1583">
        <v>772976</v>
      </c>
    </row>
    <row r="1584" spans="1:4" x14ac:dyDescent="0.35">
      <c r="A1584" t="s">
        <v>1728</v>
      </c>
      <c r="B1584">
        <v>7500</v>
      </c>
      <c r="C1584">
        <v>5920</v>
      </c>
      <c r="D1584">
        <v>2</v>
      </c>
    </row>
    <row r="1585" spans="1:4" x14ac:dyDescent="0.35">
      <c r="A1585" t="s">
        <v>1729</v>
      </c>
      <c r="B1585">
        <v>1068</v>
      </c>
      <c r="C1585">
        <v>1061</v>
      </c>
      <c r="D1585">
        <v>245</v>
      </c>
    </row>
    <row r="1586" spans="1:4" x14ac:dyDescent="0.35">
      <c r="A1586" t="s">
        <v>1730</v>
      </c>
      <c r="B1586">
        <v>50</v>
      </c>
      <c r="C1586">
        <v>50</v>
      </c>
      <c r="D1586">
        <v>13</v>
      </c>
    </row>
    <row r="1587" spans="1:4" x14ac:dyDescent="0.35">
      <c r="A1587" t="s">
        <v>1731</v>
      </c>
      <c r="B1587">
        <v>2199999</v>
      </c>
      <c r="C1587">
        <v>2157001</v>
      </c>
      <c r="D1587">
        <v>1</v>
      </c>
    </row>
    <row r="1588" spans="1:4" x14ac:dyDescent="0.35">
      <c r="A1588" t="s">
        <v>1732</v>
      </c>
      <c r="B1588">
        <v>1904</v>
      </c>
      <c r="C1588">
        <v>1601</v>
      </c>
      <c r="D1588">
        <v>15441</v>
      </c>
    </row>
    <row r="1589" spans="1:4" x14ac:dyDescent="0.35">
      <c r="A1589" t="s">
        <v>1733</v>
      </c>
      <c r="B1589">
        <v>7777</v>
      </c>
      <c r="C1589">
        <v>1364</v>
      </c>
      <c r="D1589">
        <v>0</v>
      </c>
    </row>
    <row r="1590" spans="1:4" x14ac:dyDescent="0.35">
      <c r="A1590" t="s">
        <v>1734</v>
      </c>
      <c r="B1590">
        <v>19536</v>
      </c>
      <c r="C1590">
        <v>31815</v>
      </c>
      <c r="D1590">
        <v>0</v>
      </c>
    </row>
    <row r="1591" spans="1:4" x14ac:dyDescent="0.35">
      <c r="A1591" t="s">
        <v>1735</v>
      </c>
      <c r="B1591">
        <v>89</v>
      </c>
      <c r="C1591">
        <v>89</v>
      </c>
      <c r="D1591">
        <v>23</v>
      </c>
    </row>
    <row r="1592" spans="1:4" x14ac:dyDescent="0.35">
      <c r="A1592" t="s">
        <v>1736</v>
      </c>
      <c r="B1592">
        <v>3</v>
      </c>
      <c r="C1592">
        <v>2</v>
      </c>
      <c r="D1592">
        <v>2401</v>
      </c>
    </row>
    <row r="1593" spans="1:4" x14ac:dyDescent="0.35">
      <c r="A1593" t="s">
        <v>1737</v>
      </c>
      <c r="B1593">
        <v>7134</v>
      </c>
      <c r="C1593">
        <v>7074</v>
      </c>
      <c r="D1593">
        <v>34</v>
      </c>
    </row>
    <row r="1594" spans="1:4" x14ac:dyDescent="0.35">
      <c r="A1594" t="s">
        <v>1738</v>
      </c>
      <c r="B1594">
        <v>755</v>
      </c>
      <c r="C1594">
        <v>700</v>
      </c>
      <c r="D1594">
        <v>10476</v>
      </c>
    </row>
    <row r="1595" spans="1:4" x14ac:dyDescent="0.35">
      <c r="A1595" t="s">
        <v>1739</v>
      </c>
      <c r="B1595">
        <v>8870</v>
      </c>
      <c r="C1595">
        <v>8870</v>
      </c>
      <c r="D1595">
        <v>6170</v>
      </c>
    </row>
    <row r="1596" spans="1:4" x14ac:dyDescent="0.35">
      <c r="A1596" t="s">
        <v>1740</v>
      </c>
      <c r="B1596">
        <v>3030000</v>
      </c>
      <c r="C1596">
        <v>2984333</v>
      </c>
      <c r="D1596">
        <v>1</v>
      </c>
    </row>
    <row r="1597" spans="1:4" x14ac:dyDescent="0.35">
      <c r="A1597" t="s">
        <v>1741</v>
      </c>
      <c r="B1597">
        <v>1244</v>
      </c>
      <c r="C1597">
        <v>1208</v>
      </c>
      <c r="D1597">
        <v>5170</v>
      </c>
    </row>
    <row r="1598" spans="1:4" x14ac:dyDescent="0.35">
      <c r="A1598" t="s">
        <v>1742</v>
      </c>
      <c r="B1598">
        <v>5</v>
      </c>
      <c r="C1598">
        <v>6</v>
      </c>
      <c r="D1598">
        <v>1953174</v>
      </c>
    </row>
    <row r="1599" spans="1:4" x14ac:dyDescent="0.35">
      <c r="A1599" t="s">
        <v>1743</v>
      </c>
      <c r="B1599">
        <v>2032</v>
      </c>
      <c r="C1599">
        <v>1918</v>
      </c>
      <c r="D1599">
        <v>87</v>
      </c>
    </row>
    <row r="1600" spans="1:4" x14ac:dyDescent="0.35">
      <c r="A1600" t="s">
        <v>1744</v>
      </c>
      <c r="B1600">
        <v>3</v>
      </c>
      <c r="C1600">
        <v>2</v>
      </c>
      <c r="D1600">
        <v>104</v>
      </c>
    </row>
    <row r="1601" spans="1:4" x14ac:dyDescent="0.35">
      <c r="A1601" t="s">
        <v>1745</v>
      </c>
      <c r="B1601">
        <v>50</v>
      </c>
      <c r="C1601">
        <v>50</v>
      </c>
      <c r="D1601">
        <v>0</v>
      </c>
    </row>
    <row r="1602" spans="1:4" x14ac:dyDescent="0.35">
      <c r="A1602" t="s">
        <v>1746</v>
      </c>
      <c r="B1602">
        <v>13775</v>
      </c>
      <c r="C1602">
        <v>13390</v>
      </c>
      <c r="D1602">
        <v>347</v>
      </c>
    </row>
    <row r="1603" spans="1:4" x14ac:dyDescent="0.35">
      <c r="A1603" t="s">
        <v>1747</v>
      </c>
      <c r="B1603">
        <v>1550</v>
      </c>
      <c r="C1603">
        <v>1011</v>
      </c>
      <c r="D1603">
        <v>750</v>
      </c>
    </row>
    <row r="1604" spans="1:4" x14ac:dyDescent="0.35">
      <c r="A1604" t="s">
        <v>1748</v>
      </c>
      <c r="B1604">
        <v>1950</v>
      </c>
      <c r="C1604">
        <v>1946</v>
      </c>
      <c r="D1604">
        <v>39</v>
      </c>
    </row>
    <row r="1605" spans="1:4" x14ac:dyDescent="0.35">
      <c r="A1605" t="s">
        <v>1749</v>
      </c>
      <c r="B1605">
        <v>2587</v>
      </c>
      <c r="C1605">
        <v>1863</v>
      </c>
      <c r="D1605">
        <v>0</v>
      </c>
    </row>
    <row r="1606" spans="1:4" x14ac:dyDescent="0.35">
      <c r="A1606" t="s">
        <v>1750</v>
      </c>
      <c r="B1606">
        <v>24000</v>
      </c>
      <c r="C1606">
        <v>20900</v>
      </c>
      <c r="D1606">
        <v>0</v>
      </c>
    </row>
    <row r="1607" spans="1:4" x14ac:dyDescent="0.35">
      <c r="A1607" t="s">
        <v>1751</v>
      </c>
      <c r="B1607">
        <v>61900</v>
      </c>
      <c r="C1607">
        <v>61122</v>
      </c>
      <c r="D1607">
        <v>727</v>
      </c>
    </row>
    <row r="1608" spans="1:4" x14ac:dyDescent="0.35">
      <c r="A1608" t="s">
        <v>1752</v>
      </c>
      <c r="B1608">
        <v>9800</v>
      </c>
      <c r="C1608">
        <v>9800</v>
      </c>
      <c r="D1608">
        <v>0</v>
      </c>
    </row>
    <row r="1609" spans="1:4" x14ac:dyDescent="0.35">
      <c r="A1609" t="s">
        <v>1753</v>
      </c>
      <c r="B1609">
        <v>315</v>
      </c>
      <c r="C1609">
        <v>150</v>
      </c>
      <c r="D1609">
        <v>23</v>
      </c>
    </row>
    <row r="1610" spans="1:4" x14ac:dyDescent="0.35">
      <c r="A1610" t="s">
        <v>1754</v>
      </c>
      <c r="B1610">
        <v>8</v>
      </c>
      <c r="C1610">
        <v>7</v>
      </c>
      <c r="D1610">
        <v>22330</v>
      </c>
    </row>
    <row r="1611" spans="1:4" x14ac:dyDescent="0.35">
      <c r="A1611" t="s">
        <v>1755</v>
      </c>
      <c r="B1611">
        <v>149</v>
      </c>
      <c r="C1611">
        <v>135</v>
      </c>
      <c r="D1611">
        <v>58</v>
      </c>
    </row>
    <row r="1612" spans="1:4" x14ac:dyDescent="0.35">
      <c r="A1612" t="s">
        <v>1756</v>
      </c>
      <c r="B1612">
        <v>5</v>
      </c>
      <c r="C1612">
        <v>4</v>
      </c>
      <c r="D1612">
        <v>73590</v>
      </c>
    </row>
    <row r="1613" spans="1:4" x14ac:dyDescent="0.35">
      <c r="A1613" t="s">
        <v>1757</v>
      </c>
      <c r="B1613">
        <v>1598</v>
      </c>
      <c r="C1613">
        <v>1150</v>
      </c>
      <c r="D1613">
        <v>0</v>
      </c>
    </row>
    <row r="1614" spans="1:4" x14ac:dyDescent="0.35">
      <c r="A1614" t="s">
        <v>1758</v>
      </c>
      <c r="B1614">
        <v>35000</v>
      </c>
      <c r="C1614">
        <v>76</v>
      </c>
      <c r="D1614">
        <v>0</v>
      </c>
    </row>
    <row r="1615" spans="1:4" x14ac:dyDescent="0.35">
      <c r="A1615" t="s">
        <v>1759</v>
      </c>
      <c r="B1615">
        <v>103</v>
      </c>
      <c r="C1615">
        <v>100</v>
      </c>
      <c r="D1615">
        <v>0</v>
      </c>
    </row>
    <row r="1616" spans="1:4" x14ac:dyDescent="0.35">
      <c r="A1616" t="s">
        <v>1760</v>
      </c>
      <c r="B1616">
        <v>15</v>
      </c>
      <c r="C1616">
        <v>31</v>
      </c>
      <c r="D1616">
        <v>1</v>
      </c>
    </row>
    <row r="1617" spans="1:4" x14ac:dyDescent="0.35">
      <c r="A1617" t="s">
        <v>1761</v>
      </c>
      <c r="B1617">
        <v>78</v>
      </c>
      <c r="C1617">
        <v>10</v>
      </c>
      <c r="D1617">
        <v>0</v>
      </c>
    </row>
    <row r="1618" spans="1:4" x14ac:dyDescent="0.35">
      <c r="A1618" t="s">
        <v>1762</v>
      </c>
      <c r="B1618">
        <v>4</v>
      </c>
      <c r="C1618">
        <v>10</v>
      </c>
      <c r="D1618">
        <v>1</v>
      </c>
    </row>
    <row r="1619" spans="1:4" x14ac:dyDescent="0.35">
      <c r="A1619" t="s">
        <v>1763</v>
      </c>
      <c r="B1619">
        <v>40</v>
      </c>
      <c r="C1619">
        <v>33</v>
      </c>
      <c r="D1619">
        <v>6</v>
      </c>
    </row>
    <row r="1620" spans="1:4" x14ac:dyDescent="0.35">
      <c r="A1620" t="s">
        <v>1764</v>
      </c>
      <c r="B1620">
        <v>16</v>
      </c>
      <c r="C1620">
        <v>17</v>
      </c>
      <c r="D1620">
        <v>19</v>
      </c>
    </row>
    <row r="1621" spans="1:4" x14ac:dyDescent="0.35">
      <c r="A1621" t="s">
        <v>1765</v>
      </c>
      <c r="B1621">
        <v>5943</v>
      </c>
      <c r="C1621">
        <v>5409</v>
      </c>
      <c r="D1621">
        <v>13</v>
      </c>
    </row>
    <row r="1622" spans="1:4" x14ac:dyDescent="0.35">
      <c r="A1622" t="s">
        <v>1766</v>
      </c>
      <c r="B1622">
        <v>825</v>
      </c>
      <c r="C1622">
        <v>720</v>
      </c>
      <c r="D1622">
        <v>11</v>
      </c>
    </row>
    <row r="1623" spans="1:4" x14ac:dyDescent="0.35">
      <c r="A1623" t="s">
        <v>1767</v>
      </c>
      <c r="B1623">
        <v>5316</v>
      </c>
      <c r="C1623">
        <v>5316</v>
      </c>
      <c r="D1623">
        <v>8</v>
      </c>
    </row>
    <row r="1624" spans="1:4" x14ac:dyDescent="0.35">
      <c r="A1624" t="s">
        <v>1768</v>
      </c>
      <c r="B1624">
        <v>2937543</v>
      </c>
      <c r="C1624">
        <v>2883936</v>
      </c>
      <c r="D1624">
        <v>5</v>
      </c>
    </row>
    <row r="1625" spans="1:4" x14ac:dyDescent="0.35">
      <c r="A1625" t="s">
        <v>1769</v>
      </c>
      <c r="B1625">
        <v>1</v>
      </c>
      <c r="C1625">
        <v>14</v>
      </c>
      <c r="D1625">
        <v>0</v>
      </c>
    </row>
    <row r="1626" spans="1:4" x14ac:dyDescent="0.35">
      <c r="A1626" t="s">
        <v>1770</v>
      </c>
      <c r="B1626">
        <v>2</v>
      </c>
      <c r="C1626">
        <v>2</v>
      </c>
      <c r="D1626">
        <v>705413</v>
      </c>
    </row>
    <row r="1627" spans="1:4" x14ac:dyDescent="0.35">
      <c r="A1627" t="s">
        <v>1771</v>
      </c>
      <c r="B1627">
        <v>12</v>
      </c>
      <c r="C1627">
        <v>12</v>
      </c>
      <c r="D1627">
        <v>156</v>
      </c>
    </row>
    <row r="1628" spans="1:4" x14ac:dyDescent="0.35">
      <c r="A1628" t="s">
        <v>1772</v>
      </c>
      <c r="B1628">
        <v>129</v>
      </c>
      <c r="C1628">
        <v>129</v>
      </c>
      <c r="D1628">
        <v>352</v>
      </c>
    </row>
    <row r="1629" spans="1:4" x14ac:dyDescent="0.35">
      <c r="A1629" t="s">
        <v>1773</v>
      </c>
      <c r="B1629">
        <v>325</v>
      </c>
      <c r="C1629">
        <v>200</v>
      </c>
      <c r="D1629">
        <v>16</v>
      </c>
    </row>
    <row r="1630" spans="1:4" x14ac:dyDescent="0.35">
      <c r="A1630" t="s">
        <v>1774</v>
      </c>
      <c r="B1630">
        <v>35</v>
      </c>
      <c r="C1630">
        <v>35</v>
      </c>
      <c r="D1630">
        <v>95608</v>
      </c>
    </row>
    <row r="1631" spans="1:4" x14ac:dyDescent="0.35">
      <c r="A1631" t="s">
        <v>1775</v>
      </c>
      <c r="B1631">
        <v>2387</v>
      </c>
      <c r="C1631">
        <v>2127</v>
      </c>
      <c r="D1631">
        <v>25</v>
      </c>
    </row>
    <row r="1632" spans="1:4" x14ac:dyDescent="0.35">
      <c r="A1632" t="s">
        <v>1776</v>
      </c>
      <c r="B1632">
        <v>2645</v>
      </c>
      <c r="C1632">
        <v>2233</v>
      </c>
      <c r="D1632">
        <v>39</v>
      </c>
    </row>
    <row r="1633" spans="1:4" x14ac:dyDescent="0.35">
      <c r="A1633" t="s">
        <v>1777</v>
      </c>
      <c r="B1633">
        <v>3738</v>
      </c>
      <c r="C1633">
        <v>3600</v>
      </c>
      <c r="D1633">
        <v>17</v>
      </c>
    </row>
    <row r="1634" spans="1:4" x14ac:dyDescent="0.35">
      <c r="A1634" t="s">
        <v>99</v>
      </c>
      <c r="B1634">
        <v>5707</v>
      </c>
      <c r="C1634">
        <v>5552</v>
      </c>
      <c r="D1634">
        <v>9165</v>
      </c>
    </row>
    <row r="1635" spans="1:4" x14ac:dyDescent="0.35">
      <c r="A1635" t="s">
        <v>1778</v>
      </c>
      <c r="B1635">
        <v>99999</v>
      </c>
      <c r="C1635">
        <v>11576</v>
      </c>
      <c r="D1635">
        <v>0</v>
      </c>
    </row>
    <row r="1636" spans="1:4" x14ac:dyDescent="0.35">
      <c r="A1636" t="s">
        <v>1779</v>
      </c>
      <c r="B1636">
        <v>7000</v>
      </c>
      <c r="C1636">
        <v>6820</v>
      </c>
      <c r="D1636">
        <v>235</v>
      </c>
    </row>
    <row r="1637" spans="1:4" x14ac:dyDescent="0.35">
      <c r="A1637" t="s">
        <v>1780</v>
      </c>
      <c r="B1637">
        <v>277</v>
      </c>
      <c r="C1637">
        <v>2</v>
      </c>
      <c r="D1637">
        <v>0</v>
      </c>
    </row>
    <row r="1638" spans="1:4" x14ac:dyDescent="0.35">
      <c r="A1638" t="s">
        <v>1781</v>
      </c>
      <c r="B1638">
        <v>2500</v>
      </c>
      <c r="C1638">
        <v>2494</v>
      </c>
      <c r="D1638">
        <v>3</v>
      </c>
    </row>
    <row r="1639" spans="1:4" x14ac:dyDescent="0.35">
      <c r="A1639" t="s">
        <v>1782</v>
      </c>
      <c r="B1639">
        <v>567</v>
      </c>
      <c r="C1639">
        <v>1006</v>
      </c>
      <c r="D1639">
        <v>0</v>
      </c>
    </row>
    <row r="1640" spans="1:4" x14ac:dyDescent="0.35">
      <c r="A1640" t="s">
        <v>1783</v>
      </c>
      <c r="B1640">
        <v>645</v>
      </c>
      <c r="C1640">
        <v>900</v>
      </c>
      <c r="D1640">
        <v>0</v>
      </c>
    </row>
    <row r="1641" spans="1:4" x14ac:dyDescent="0.35">
      <c r="A1641" t="s">
        <v>1784</v>
      </c>
      <c r="B1641">
        <v>298</v>
      </c>
      <c r="C1641">
        <v>100</v>
      </c>
      <c r="D1641">
        <v>0</v>
      </c>
    </row>
    <row r="1642" spans="1:4" x14ac:dyDescent="0.35">
      <c r="A1642" t="s">
        <v>1785</v>
      </c>
      <c r="B1642">
        <v>26</v>
      </c>
      <c r="C1642">
        <v>3</v>
      </c>
      <c r="D1642">
        <v>0</v>
      </c>
    </row>
    <row r="1643" spans="1:4" x14ac:dyDescent="0.35">
      <c r="A1643" t="s">
        <v>1786</v>
      </c>
      <c r="B1643">
        <v>10000</v>
      </c>
      <c r="C1643">
        <v>120</v>
      </c>
      <c r="D1643">
        <v>1</v>
      </c>
    </row>
    <row r="1644" spans="1:4" x14ac:dyDescent="0.35">
      <c r="A1644" t="s">
        <v>1787</v>
      </c>
      <c r="B1644">
        <v>1101</v>
      </c>
      <c r="C1644">
        <v>100</v>
      </c>
      <c r="D1644">
        <v>0</v>
      </c>
    </row>
    <row r="1645" spans="1:4" x14ac:dyDescent="0.35">
      <c r="A1645" t="s">
        <v>1788</v>
      </c>
      <c r="B1645">
        <v>4999</v>
      </c>
      <c r="C1645">
        <v>158</v>
      </c>
      <c r="D1645">
        <v>2</v>
      </c>
    </row>
    <row r="1646" spans="1:4" x14ac:dyDescent="0.35">
      <c r="A1646" t="s">
        <v>1789</v>
      </c>
      <c r="B1646">
        <v>10</v>
      </c>
      <c r="C1646">
        <v>1088</v>
      </c>
      <c r="D1646">
        <v>0</v>
      </c>
    </row>
    <row r="1647" spans="1:4" x14ac:dyDescent="0.35">
      <c r="A1647" t="s">
        <v>1790</v>
      </c>
      <c r="B1647">
        <v>9995</v>
      </c>
      <c r="C1647">
        <v>1289</v>
      </c>
      <c r="D1647">
        <v>0</v>
      </c>
    </row>
    <row r="1648" spans="1:4" x14ac:dyDescent="0.35">
      <c r="A1648" t="s">
        <v>1791</v>
      </c>
      <c r="B1648">
        <v>389</v>
      </c>
      <c r="C1648">
        <v>5517</v>
      </c>
      <c r="D1648">
        <v>0</v>
      </c>
    </row>
    <row r="1649" spans="1:4" x14ac:dyDescent="0.35">
      <c r="A1649" t="s">
        <v>1792</v>
      </c>
      <c r="B1649">
        <v>2189</v>
      </c>
      <c r="C1649">
        <v>2189</v>
      </c>
      <c r="D1649">
        <v>0</v>
      </c>
    </row>
    <row r="1650" spans="1:4" x14ac:dyDescent="0.35">
      <c r="A1650" t="s">
        <v>1793</v>
      </c>
      <c r="B1650">
        <v>3282512</v>
      </c>
      <c r="C1650">
        <v>3175548</v>
      </c>
      <c r="D1650">
        <v>21</v>
      </c>
    </row>
    <row r="1651" spans="1:4" x14ac:dyDescent="0.35">
      <c r="A1651" t="s">
        <v>1794</v>
      </c>
      <c r="B1651">
        <v>1000</v>
      </c>
      <c r="C1651">
        <v>1125</v>
      </c>
      <c r="D1651">
        <v>0</v>
      </c>
    </row>
    <row r="1652" spans="1:4" x14ac:dyDescent="0.35">
      <c r="A1652" t="s">
        <v>1795</v>
      </c>
      <c r="B1652">
        <v>9995</v>
      </c>
      <c r="C1652">
        <v>50</v>
      </c>
      <c r="D1652">
        <v>0</v>
      </c>
    </row>
    <row r="1653" spans="1:4" x14ac:dyDescent="0.35">
      <c r="A1653" t="s">
        <v>1796</v>
      </c>
      <c r="B1653">
        <v>2495</v>
      </c>
      <c r="C1653">
        <v>2128</v>
      </c>
      <c r="D1653">
        <v>0</v>
      </c>
    </row>
    <row r="1654" spans="1:4" x14ac:dyDescent="0.35">
      <c r="A1654" t="s">
        <v>1797</v>
      </c>
      <c r="B1654">
        <v>1289</v>
      </c>
      <c r="C1654">
        <v>4691</v>
      </c>
      <c r="D1654">
        <v>0</v>
      </c>
    </row>
    <row r="1655" spans="1:4" x14ac:dyDescent="0.35">
      <c r="A1655" t="s">
        <v>1798</v>
      </c>
      <c r="B1655">
        <v>704</v>
      </c>
      <c r="C1655">
        <v>10</v>
      </c>
      <c r="D1655">
        <v>0</v>
      </c>
    </row>
    <row r="1656" spans="1:4" x14ac:dyDescent="0.35">
      <c r="A1656" t="s">
        <v>1799</v>
      </c>
      <c r="B1656">
        <v>551</v>
      </c>
      <c r="C1656">
        <v>1084</v>
      </c>
      <c r="D1656">
        <v>0</v>
      </c>
    </row>
    <row r="1657" spans="1:4" x14ac:dyDescent="0.35">
      <c r="A1657" t="s">
        <v>1800</v>
      </c>
      <c r="B1657">
        <v>49999</v>
      </c>
      <c r="C1657">
        <v>1904</v>
      </c>
      <c r="D1657">
        <v>3</v>
      </c>
    </row>
    <row r="1658" spans="1:4" x14ac:dyDescent="0.35">
      <c r="A1658" t="s">
        <v>1801</v>
      </c>
      <c r="B1658">
        <v>1082</v>
      </c>
      <c r="C1658">
        <v>1161</v>
      </c>
      <c r="D1658">
        <v>0</v>
      </c>
    </row>
    <row r="1659" spans="1:4" x14ac:dyDescent="0.35">
      <c r="A1659" t="s">
        <v>1802</v>
      </c>
      <c r="B1659">
        <v>61</v>
      </c>
      <c r="C1659">
        <v>150</v>
      </c>
      <c r="D1659">
        <v>1</v>
      </c>
    </row>
    <row r="1660" spans="1:4" x14ac:dyDescent="0.35">
      <c r="A1660" t="s">
        <v>1803</v>
      </c>
      <c r="B1660">
        <v>24</v>
      </c>
      <c r="C1660">
        <v>29</v>
      </c>
      <c r="D1660">
        <v>0</v>
      </c>
    </row>
    <row r="1661" spans="1:4" x14ac:dyDescent="0.35">
      <c r="A1661" t="s">
        <v>1804</v>
      </c>
      <c r="B1661">
        <v>45073</v>
      </c>
      <c r="C1661">
        <v>33551</v>
      </c>
      <c r="D1661">
        <v>13</v>
      </c>
    </row>
    <row r="1662" spans="1:4" x14ac:dyDescent="0.35">
      <c r="A1662" t="s">
        <v>1805</v>
      </c>
      <c r="B1662">
        <v>2573</v>
      </c>
      <c r="C1662">
        <v>5000</v>
      </c>
      <c r="D1662">
        <v>10</v>
      </c>
    </row>
    <row r="1663" spans="1:4" x14ac:dyDescent="0.35">
      <c r="A1663" t="s">
        <v>1806</v>
      </c>
      <c r="B1663">
        <v>2195</v>
      </c>
      <c r="C1663">
        <v>736</v>
      </c>
      <c r="D1663">
        <v>0</v>
      </c>
    </row>
    <row r="1664" spans="1:4" x14ac:dyDescent="0.35">
      <c r="A1664" t="s">
        <v>1807</v>
      </c>
      <c r="B1664">
        <v>167</v>
      </c>
      <c r="C1664">
        <v>301</v>
      </c>
      <c r="D1664">
        <v>0</v>
      </c>
    </row>
    <row r="1665" spans="1:4" x14ac:dyDescent="0.35">
      <c r="A1665" t="s">
        <v>1808</v>
      </c>
      <c r="B1665">
        <v>6213</v>
      </c>
      <c r="C1665">
        <v>6213</v>
      </c>
      <c r="D1665">
        <v>3588</v>
      </c>
    </row>
    <row r="1666" spans="1:4" x14ac:dyDescent="0.35">
      <c r="A1666" t="s">
        <v>1809</v>
      </c>
      <c r="B1666">
        <v>276</v>
      </c>
      <c r="C1666">
        <v>276</v>
      </c>
      <c r="D1666">
        <v>2930</v>
      </c>
    </row>
    <row r="1667" spans="1:4" x14ac:dyDescent="0.35">
      <c r="A1667" t="s">
        <v>1810</v>
      </c>
      <c r="B1667">
        <v>2086612</v>
      </c>
      <c r="C1667">
        <v>1873778</v>
      </c>
      <c r="D1667">
        <v>0</v>
      </c>
    </row>
    <row r="1668" spans="1:4" x14ac:dyDescent="0.35">
      <c r="A1668" t="s">
        <v>1811</v>
      </c>
      <c r="B1668">
        <v>2880</v>
      </c>
      <c r="C1668">
        <v>500</v>
      </c>
      <c r="D1668">
        <v>0</v>
      </c>
    </row>
    <row r="1669" spans="1:4" x14ac:dyDescent="0.35">
      <c r="A1669" t="s">
        <v>1812</v>
      </c>
      <c r="B1669">
        <v>2500</v>
      </c>
      <c r="C1669">
        <v>1750</v>
      </c>
      <c r="D1669">
        <v>16</v>
      </c>
    </row>
    <row r="1670" spans="1:4" x14ac:dyDescent="0.35">
      <c r="A1670" t="s">
        <v>1813</v>
      </c>
      <c r="B1670">
        <v>3500</v>
      </c>
      <c r="C1670">
        <v>1246</v>
      </c>
      <c r="D1670">
        <v>0</v>
      </c>
    </row>
    <row r="1671" spans="1:4" x14ac:dyDescent="0.35">
      <c r="A1671" t="s">
        <v>1814</v>
      </c>
      <c r="B1671">
        <v>301</v>
      </c>
      <c r="C1671">
        <v>298</v>
      </c>
      <c r="D1671">
        <v>12</v>
      </c>
    </row>
    <row r="1672" spans="1:4" x14ac:dyDescent="0.35">
      <c r="A1672" t="s">
        <v>1815</v>
      </c>
      <c r="B1672">
        <v>303315</v>
      </c>
      <c r="C1672">
        <v>281223</v>
      </c>
      <c r="D1672">
        <v>5</v>
      </c>
    </row>
    <row r="1673" spans="1:4" x14ac:dyDescent="0.35">
      <c r="A1673" t="s">
        <v>1816</v>
      </c>
      <c r="B1673">
        <v>1999</v>
      </c>
      <c r="C1673">
        <v>1669</v>
      </c>
      <c r="D1673">
        <v>3</v>
      </c>
    </row>
    <row r="1674" spans="1:4" x14ac:dyDescent="0.35">
      <c r="A1674" t="s">
        <v>1817</v>
      </c>
      <c r="B1674">
        <v>725</v>
      </c>
      <c r="C1674">
        <v>718</v>
      </c>
      <c r="D1674">
        <v>1151</v>
      </c>
    </row>
    <row r="1675" spans="1:4" x14ac:dyDescent="0.35">
      <c r="A1675" t="s">
        <v>1818</v>
      </c>
      <c r="B1675">
        <v>115</v>
      </c>
      <c r="C1675">
        <v>104</v>
      </c>
      <c r="D1675">
        <v>998</v>
      </c>
    </row>
    <row r="1676" spans="1:4" x14ac:dyDescent="0.35">
      <c r="A1676" t="s">
        <v>1819</v>
      </c>
      <c r="B1676">
        <v>25000</v>
      </c>
      <c r="C1676">
        <v>6767</v>
      </c>
      <c r="D1676">
        <v>0</v>
      </c>
    </row>
    <row r="1677" spans="1:4" x14ac:dyDescent="0.35">
      <c r="A1677" t="s">
        <v>1820</v>
      </c>
      <c r="B1677">
        <v>449</v>
      </c>
      <c r="C1677">
        <v>282</v>
      </c>
      <c r="D1677">
        <v>10</v>
      </c>
    </row>
    <row r="1678" spans="1:4" x14ac:dyDescent="0.35">
      <c r="A1678" t="s">
        <v>118</v>
      </c>
      <c r="B1678">
        <v>22</v>
      </c>
      <c r="C1678">
        <v>22</v>
      </c>
      <c r="D1678">
        <v>29</v>
      </c>
    </row>
    <row r="1679" spans="1:4" x14ac:dyDescent="0.35">
      <c r="A1679" t="s">
        <v>1821</v>
      </c>
      <c r="B1679">
        <v>151</v>
      </c>
      <c r="C1679">
        <v>151</v>
      </c>
      <c r="D1679">
        <v>9</v>
      </c>
    </row>
    <row r="1680" spans="1:4" x14ac:dyDescent="0.35">
      <c r="A1680" t="s">
        <v>1822</v>
      </c>
      <c r="B1680">
        <v>820</v>
      </c>
      <c r="C1680">
        <v>793</v>
      </c>
      <c r="D1680">
        <v>138</v>
      </c>
    </row>
    <row r="1681" spans="1:4" x14ac:dyDescent="0.35">
      <c r="A1681" t="s">
        <v>1823</v>
      </c>
      <c r="B1681">
        <v>31075306</v>
      </c>
      <c r="C1681">
        <v>30300000</v>
      </c>
      <c r="D1681">
        <v>36</v>
      </c>
    </row>
    <row r="1682" spans="1:4" x14ac:dyDescent="0.35">
      <c r="A1682" t="s">
        <v>1824</v>
      </c>
      <c r="B1682">
        <v>11</v>
      </c>
      <c r="C1682">
        <v>10</v>
      </c>
      <c r="D1682">
        <v>203</v>
      </c>
    </row>
    <row r="1683" spans="1:4" x14ac:dyDescent="0.35">
      <c r="A1683" t="s">
        <v>1825</v>
      </c>
      <c r="B1683">
        <v>110</v>
      </c>
      <c r="C1683">
        <v>110</v>
      </c>
      <c r="D1683">
        <v>0</v>
      </c>
    </row>
    <row r="1684" spans="1:4" x14ac:dyDescent="0.35">
      <c r="A1684" t="s">
        <v>1826</v>
      </c>
      <c r="B1684">
        <v>46586</v>
      </c>
      <c r="C1684">
        <v>35049</v>
      </c>
      <c r="D1684">
        <v>0</v>
      </c>
    </row>
    <row r="1685" spans="1:4" x14ac:dyDescent="0.35">
      <c r="A1685" t="s">
        <v>1827</v>
      </c>
      <c r="B1685">
        <v>18219</v>
      </c>
      <c r="C1685">
        <v>18252</v>
      </c>
      <c r="D1685">
        <v>25</v>
      </c>
    </row>
    <row r="1686" spans="1:4" x14ac:dyDescent="0.35">
      <c r="A1686" t="s">
        <v>1828</v>
      </c>
      <c r="B1686">
        <v>6542</v>
      </c>
      <c r="C1686">
        <v>2801</v>
      </c>
      <c r="D1686">
        <v>1</v>
      </c>
    </row>
    <row r="1687" spans="1:4" x14ac:dyDescent="0.35">
      <c r="A1687" t="s">
        <v>1829</v>
      </c>
      <c r="B1687">
        <v>250</v>
      </c>
      <c r="C1687">
        <v>240</v>
      </c>
      <c r="D1687">
        <v>2</v>
      </c>
    </row>
    <row r="1688" spans="1:4" x14ac:dyDescent="0.35">
      <c r="A1688" t="s">
        <v>1830</v>
      </c>
      <c r="B1688">
        <v>191</v>
      </c>
      <c r="C1688">
        <v>205</v>
      </c>
      <c r="D1688">
        <v>13342</v>
      </c>
    </row>
    <row r="1689" spans="1:4" x14ac:dyDescent="0.35">
      <c r="A1689" t="s">
        <v>1831</v>
      </c>
      <c r="B1689">
        <v>5714539</v>
      </c>
      <c r="C1689">
        <v>5410661</v>
      </c>
      <c r="D1689">
        <v>1</v>
      </c>
    </row>
    <row r="1690" spans="1:4" x14ac:dyDescent="0.35">
      <c r="A1690" t="s">
        <v>1832</v>
      </c>
      <c r="B1690">
        <v>38801462</v>
      </c>
      <c r="C1690">
        <v>37777899</v>
      </c>
      <c r="D1690">
        <v>2</v>
      </c>
    </row>
    <row r="1691" spans="1:4" x14ac:dyDescent="0.35">
      <c r="A1691" t="s">
        <v>1833</v>
      </c>
      <c r="B1691">
        <v>31100000</v>
      </c>
      <c r="C1691">
        <v>30110000</v>
      </c>
      <c r="D1691">
        <v>0</v>
      </c>
    </row>
    <row r="1692" spans="1:4" x14ac:dyDescent="0.35">
      <c r="A1692" t="s">
        <v>1834</v>
      </c>
      <c r="B1692">
        <v>6121394</v>
      </c>
      <c r="C1692">
        <v>5900000</v>
      </c>
      <c r="D1692">
        <v>1</v>
      </c>
    </row>
    <row r="1693" spans="1:4" x14ac:dyDescent="0.35">
      <c r="A1693" t="s">
        <v>1835</v>
      </c>
      <c r="B1693">
        <v>2543000</v>
      </c>
      <c r="C1693">
        <v>200000</v>
      </c>
      <c r="D1693">
        <v>0</v>
      </c>
    </row>
    <row r="1694" spans="1:4" x14ac:dyDescent="0.35">
      <c r="A1694" t="s">
        <v>1836</v>
      </c>
      <c r="B1694">
        <v>2074000</v>
      </c>
      <c r="C1694">
        <v>1970500</v>
      </c>
      <c r="D1694">
        <v>1</v>
      </c>
    </row>
    <row r="1695" spans="1:4" x14ac:dyDescent="0.35">
      <c r="A1695" t="s">
        <v>1837</v>
      </c>
      <c r="B1695">
        <v>106732</v>
      </c>
      <c r="C1695">
        <v>108000</v>
      </c>
      <c r="D1695">
        <v>0</v>
      </c>
    </row>
    <row r="1696" spans="1:4" x14ac:dyDescent="0.35">
      <c r="A1696" t="s">
        <v>1838</v>
      </c>
      <c r="B1696">
        <v>2330196</v>
      </c>
      <c r="C1696">
        <v>2213777</v>
      </c>
      <c r="D1696">
        <v>0</v>
      </c>
    </row>
    <row r="1697" spans="1:4" x14ac:dyDescent="0.35">
      <c r="A1697" t="s">
        <v>1839</v>
      </c>
      <c r="B1697">
        <v>350000</v>
      </c>
      <c r="C1697">
        <v>18596</v>
      </c>
      <c r="D1697">
        <v>0</v>
      </c>
    </row>
    <row r="1698" spans="1:4" x14ac:dyDescent="0.35">
      <c r="A1698" t="s">
        <v>1840</v>
      </c>
      <c r="B1698">
        <v>403484</v>
      </c>
      <c r="C1698">
        <v>400000</v>
      </c>
      <c r="D1698">
        <v>0</v>
      </c>
    </row>
    <row r="1699" spans="1:4" x14ac:dyDescent="0.35">
      <c r="A1699" t="s">
        <v>1841</v>
      </c>
      <c r="B1699">
        <v>2369097</v>
      </c>
      <c r="C1699">
        <v>2369097</v>
      </c>
      <c r="D1699">
        <v>0</v>
      </c>
    </row>
    <row r="1700" spans="1:4" x14ac:dyDescent="0.35">
      <c r="A1700" t="s">
        <v>1842</v>
      </c>
      <c r="B1700">
        <v>8617926</v>
      </c>
      <c r="C1700">
        <v>8340340</v>
      </c>
      <c r="D1700">
        <v>0</v>
      </c>
    </row>
    <row r="1701" spans="1:4" x14ac:dyDescent="0.35">
      <c r="A1701" t="s">
        <v>1843</v>
      </c>
      <c r="B1701">
        <v>5975243</v>
      </c>
      <c r="C1701">
        <v>5810021</v>
      </c>
      <c r="D1701">
        <v>0</v>
      </c>
    </row>
    <row r="1702" spans="1:4" x14ac:dyDescent="0.35">
      <c r="A1702" t="s">
        <v>1844</v>
      </c>
      <c r="B1702">
        <v>17222222</v>
      </c>
      <c r="C1702">
        <v>16625000</v>
      </c>
      <c r="D1702">
        <v>0</v>
      </c>
    </row>
    <row r="1703" spans="1:4" x14ac:dyDescent="0.35">
      <c r="A1703" t="s">
        <v>1845</v>
      </c>
      <c r="B1703">
        <v>299999</v>
      </c>
      <c r="C1703">
        <v>303116</v>
      </c>
      <c r="D1703">
        <v>0</v>
      </c>
    </row>
    <row r="1704" spans="1:4" x14ac:dyDescent="0.35">
      <c r="A1704" t="s">
        <v>1846</v>
      </c>
      <c r="B1704">
        <v>196457</v>
      </c>
      <c r="C1704">
        <v>282390</v>
      </c>
      <c r="D1704">
        <v>0</v>
      </c>
    </row>
    <row r="1705" spans="1:4" x14ac:dyDescent="0.35">
      <c r="A1705" t="s">
        <v>1847</v>
      </c>
      <c r="B1705">
        <v>8986452</v>
      </c>
      <c r="C1705">
        <v>8808888</v>
      </c>
      <c r="D1705">
        <v>0</v>
      </c>
    </row>
    <row r="1706" spans="1:4" x14ac:dyDescent="0.35">
      <c r="A1706" t="s">
        <v>1848</v>
      </c>
      <c r="B1706">
        <v>1291000</v>
      </c>
      <c r="C1706">
        <v>1200000</v>
      </c>
      <c r="D1706">
        <v>1</v>
      </c>
    </row>
    <row r="1707" spans="1:4" x14ac:dyDescent="0.35">
      <c r="A1707" t="s">
        <v>1849</v>
      </c>
      <c r="B1707">
        <v>9474797</v>
      </c>
      <c r="C1707">
        <v>9251000</v>
      </c>
      <c r="D1707">
        <v>0</v>
      </c>
    </row>
    <row r="1708" spans="1:4" x14ac:dyDescent="0.35">
      <c r="A1708" t="s">
        <v>1850</v>
      </c>
      <c r="B1708">
        <v>170000</v>
      </c>
      <c r="C1708">
        <v>200000</v>
      </c>
      <c r="D1708">
        <v>0</v>
      </c>
    </row>
    <row r="1709" spans="1:4" x14ac:dyDescent="0.35">
      <c r="A1709" t="s">
        <v>1851</v>
      </c>
      <c r="B1709">
        <v>1481611</v>
      </c>
      <c r="C1709">
        <v>1377856</v>
      </c>
      <c r="D1709">
        <v>1</v>
      </c>
    </row>
    <row r="1710" spans="1:4" x14ac:dyDescent="0.35">
      <c r="A1710" t="s">
        <v>1852</v>
      </c>
      <c r="B1710">
        <v>4347471</v>
      </c>
      <c r="C1710">
        <v>4363739</v>
      </c>
      <c r="D1710">
        <v>1</v>
      </c>
    </row>
    <row r="1711" spans="1:4" x14ac:dyDescent="0.35">
      <c r="A1711" t="s">
        <v>1853</v>
      </c>
      <c r="B1711">
        <v>10700000</v>
      </c>
      <c r="C1711">
        <v>10656000</v>
      </c>
      <c r="D1711">
        <v>0</v>
      </c>
    </row>
    <row r="1712" spans="1:4" x14ac:dyDescent="0.35">
      <c r="A1712" t="s">
        <v>1854</v>
      </c>
      <c r="B1712">
        <v>8734855</v>
      </c>
      <c r="C1712">
        <v>8641000</v>
      </c>
      <c r="D1712">
        <v>0</v>
      </c>
    </row>
    <row r="1713" spans="1:4" x14ac:dyDescent="0.35">
      <c r="A1713" t="s">
        <v>1855</v>
      </c>
      <c r="B1713">
        <v>1387997</v>
      </c>
      <c r="C1713">
        <v>1200568</v>
      </c>
      <c r="D1713">
        <v>1</v>
      </c>
    </row>
    <row r="1714" spans="1:4" x14ac:dyDescent="0.35">
      <c r="A1714" t="s">
        <v>1856</v>
      </c>
      <c r="B1714">
        <v>16396855</v>
      </c>
      <c r="C1714">
        <v>15870000</v>
      </c>
      <c r="D1714">
        <v>1</v>
      </c>
    </row>
    <row r="1715" spans="1:4" x14ac:dyDescent="0.35">
      <c r="A1715" t="s">
        <v>1857</v>
      </c>
      <c r="B1715">
        <v>3063907</v>
      </c>
      <c r="C1715">
        <v>3050761</v>
      </c>
      <c r="D1715">
        <v>2</v>
      </c>
    </row>
    <row r="1716" spans="1:4" x14ac:dyDescent="0.35">
      <c r="A1716" t="s">
        <v>1858</v>
      </c>
      <c r="B1716">
        <v>1618742</v>
      </c>
      <c r="C1716">
        <v>1362000</v>
      </c>
      <c r="D1716">
        <v>0</v>
      </c>
    </row>
    <row r="1717" spans="1:4" x14ac:dyDescent="0.35">
      <c r="A1717" t="s">
        <v>1859</v>
      </c>
      <c r="B1717">
        <v>1311999</v>
      </c>
      <c r="C1717">
        <v>1289959</v>
      </c>
      <c r="D1717">
        <v>0</v>
      </c>
    </row>
    <row r="1718" spans="1:4" x14ac:dyDescent="0.35">
      <c r="A1718" t="s">
        <v>1860</v>
      </c>
      <c r="B1718">
        <v>199999</v>
      </c>
      <c r="C1718">
        <v>59000</v>
      </c>
      <c r="D1718">
        <v>0</v>
      </c>
    </row>
    <row r="1719" spans="1:4" x14ac:dyDescent="0.35">
      <c r="A1719" t="s">
        <v>1861</v>
      </c>
      <c r="B1719">
        <v>50</v>
      </c>
      <c r="C1719">
        <v>50</v>
      </c>
      <c r="D1719">
        <v>1</v>
      </c>
    </row>
    <row r="1720" spans="1:4" x14ac:dyDescent="0.35">
      <c r="A1720" t="s">
        <v>1862</v>
      </c>
      <c r="B1720">
        <v>86096</v>
      </c>
      <c r="C1720">
        <v>76532</v>
      </c>
      <c r="D1720">
        <v>23</v>
      </c>
    </row>
    <row r="1721" spans="1:4" x14ac:dyDescent="0.35">
      <c r="A1721" t="s">
        <v>1863</v>
      </c>
      <c r="B1721">
        <v>55</v>
      </c>
      <c r="C1721">
        <v>55</v>
      </c>
      <c r="D1721">
        <v>36</v>
      </c>
    </row>
    <row r="1722" spans="1:4" x14ac:dyDescent="0.35">
      <c r="A1722" t="s">
        <v>1864</v>
      </c>
      <c r="B1722">
        <v>6648</v>
      </c>
      <c r="C1722">
        <v>5750</v>
      </c>
      <c r="D1722">
        <v>2</v>
      </c>
    </row>
    <row r="1723" spans="1:4" x14ac:dyDescent="0.35">
      <c r="A1723" t="s">
        <v>1865</v>
      </c>
      <c r="B1723">
        <v>1425</v>
      </c>
      <c r="C1723">
        <v>1180</v>
      </c>
      <c r="D1723">
        <v>8</v>
      </c>
    </row>
    <row r="1724" spans="1:4" x14ac:dyDescent="0.35">
      <c r="A1724" t="s">
        <v>1866</v>
      </c>
      <c r="B1724">
        <v>27559</v>
      </c>
      <c r="C1724">
        <v>25000</v>
      </c>
      <c r="D1724">
        <v>0</v>
      </c>
    </row>
    <row r="1725" spans="1:4" x14ac:dyDescent="0.35">
      <c r="A1725" t="s">
        <v>1867</v>
      </c>
      <c r="B1725">
        <v>1044000</v>
      </c>
      <c r="C1725">
        <v>1019326</v>
      </c>
      <c r="D1725">
        <v>3</v>
      </c>
    </row>
    <row r="1726" spans="1:4" x14ac:dyDescent="0.35">
      <c r="A1726" t="s">
        <v>1868</v>
      </c>
      <c r="B1726">
        <v>200</v>
      </c>
      <c r="C1726">
        <v>40</v>
      </c>
      <c r="D1726">
        <v>3</v>
      </c>
    </row>
    <row r="1727" spans="1:4" x14ac:dyDescent="0.35">
      <c r="A1727" t="s">
        <v>1869</v>
      </c>
      <c r="B1727">
        <v>32536</v>
      </c>
      <c r="C1727">
        <v>30988</v>
      </c>
      <c r="D1727">
        <v>13</v>
      </c>
    </row>
    <row r="1728" spans="1:4" x14ac:dyDescent="0.35">
      <c r="A1728" t="s">
        <v>1870</v>
      </c>
      <c r="B1728">
        <v>93</v>
      </c>
      <c r="C1728">
        <v>20</v>
      </c>
      <c r="D1728">
        <v>10</v>
      </c>
    </row>
    <row r="1729" spans="1:4" x14ac:dyDescent="0.35">
      <c r="A1729" t="s">
        <v>1871</v>
      </c>
      <c r="B1729">
        <v>4079</v>
      </c>
      <c r="C1729">
        <v>4079</v>
      </c>
      <c r="D1729">
        <v>40</v>
      </c>
    </row>
    <row r="1730" spans="1:4" x14ac:dyDescent="0.35">
      <c r="A1730" t="s">
        <v>1872</v>
      </c>
      <c r="B1730">
        <v>11751</v>
      </c>
      <c r="C1730">
        <v>11755</v>
      </c>
      <c r="D1730">
        <v>0</v>
      </c>
    </row>
    <row r="1731" spans="1:4" x14ac:dyDescent="0.35">
      <c r="A1731" t="s">
        <v>1873</v>
      </c>
      <c r="B1731">
        <v>22857</v>
      </c>
      <c r="C1731">
        <v>22333</v>
      </c>
      <c r="D1731">
        <v>0</v>
      </c>
    </row>
    <row r="1732" spans="1:4" x14ac:dyDescent="0.35">
      <c r="A1732" t="s">
        <v>1874</v>
      </c>
      <c r="B1732">
        <v>35506</v>
      </c>
      <c r="C1732">
        <v>35013</v>
      </c>
      <c r="D1732">
        <v>1</v>
      </c>
    </row>
    <row r="1733" spans="1:4" x14ac:dyDescent="0.35">
      <c r="A1733" t="s">
        <v>1875</v>
      </c>
      <c r="B1733">
        <v>49000</v>
      </c>
      <c r="C1733">
        <v>49000</v>
      </c>
      <c r="D1733">
        <v>586</v>
      </c>
    </row>
    <row r="1734" spans="1:4" x14ac:dyDescent="0.35">
      <c r="A1734" t="s">
        <v>155</v>
      </c>
      <c r="B1734">
        <v>74</v>
      </c>
      <c r="C1734">
        <v>74</v>
      </c>
      <c r="D1734">
        <v>5162</v>
      </c>
    </row>
    <row r="1735" spans="1:4" x14ac:dyDescent="0.35">
      <c r="A1735" t="s">
        <v>1876</v>
      </c>
      <c r="B1735">
        <v>565</v>
      </c>
      <c r="C1735">
        <v>559</v>
      </c>
      <c r="D1735">
        <v>0</v>
      </c>
    </row>
    <row r="1736" spans="1:4" x14ac:dyDescent="0.35">
      <c r="A1736" t="s">
        <v>1877</v>
      </c>
      <c r="B1736">
        <v>555</v>
      </c>
      <c r="C1736">
        <v>522</v>
      </c>
      <c r="D1736">
        <v>78</v>
      </c>
    </row>
    <row r="1737" spans="1:4" x14ac:dyDescent="0.35">
      <c r="A1737" t="s">
        <v>1878</v>
      </c>
      <c r="B1737">
        <v>58777</v>
      </c>
      <c r="C1737">
        <v>55000</v>
      </c>
      <c r="D1737">
        <v>3</v>
      </c>
    </row>
    <row r="1738" spans="1:4" x14ac:dyDescent="0.35">
      <c r="A1738" t="s">
        <v>1879</v>
      </c>
      <c r="B1738">
        <v>542690</v>
      </c>
      <c r="C1738">
        <v>542690</v>
      </c>
      <c r="D1738">
        <v>9</v>
      </c>
    </row>
    <row r="1739" spans="1:4" x14ac:dyDescent="0.35">
      <c r="A1739" t="s">
        <v>1880</v>
      </c>
      <c r="B1739">
        <v>187579</v>
      </c>
      <c r="C1739">
        <v>161111</v>
      </c>
      <c r="D1739">
        <v>3</v>
      </c>
    </row>
    <row r="1740" spans="1:4" x14ac:dyDescent="0.35">
      <c r="A1740" t="s">
        <v>1881</v>
      </c>
      <c r="B1740">
        <v>156757</v>
      </c>
      <c r="C1740">
        <v>154111</v>
      </c>
      <c r="D1740">
        <v>7</v>
      </c>
    </row>
    <row r="1741" spans="1:4" x14ac:dyDescent="0.35">
      <c r="A1741" t="s">
        <v>1882</v>
      </c>
      <c r="B1741">
        <v>500000</v>
      </c>
      <c r="C1741">
        <v>154111</v>
      </c>
      <c r="D1741">
        <v>8</v>
      </c>
    </row>
    <row r="1742" spans="1:4" x14ac:dyDescent="0.35">
      <c r="A1742" t="s">
        <v>1883</v>
      </c>
      <c r="B1742">
        <v>127</v>
      </c>
      <c r="C1742">
        <v>127</v>
      </c>
      <c r="D1742">
        <v>7</v>
      </c>
    </row>
    <row r="1743" spans="1:4" x14ac:dyDescent="0.35">
      <c r="A1743" t="s">
        <v>1884</v>
      </c>
      <c r="B1743">
        <v>158</v>
      </c>
      <c r="C1743">
        <v>157</v>
      </c>
      <c r="D1743">
        <v>1150</v>
      </c>
    </row>
    <row r="1744" spans="1:4" x14ac:dyDescent="0.35">
      <c r="A1744" t="s">
        <v>1885</v>
      </c>
      <c r="B1744">
        <v>103</v>
      </c>
      <c r="C1744">
        <v>100</v>
      </c>
      <c r="D1744">
        <v>151038</v>
      </c>
    </row>
    <row r="1745" spans="1:4" x14ac:dyDescent="0.35">
      <c r="A1745" t="s">
        <v>1886</v>
      </c>
      <c r="B1745">
        <v>226</v>
      </c>
      <c r="C1745">
        <v>226</v>
      </c>
      <c r="D1745">
        <v>1450</v>
      </c>
    </row>
    <row r="1746" spans="1:4" x14ac:dyDescent="0.35">
      <c r="A1746" t="s">
        <v>1887</v>
      </c>
      <c r="B1746">
        <v>4000</v>
      </c>
      <c r="C1746">
        <v>2143</v>
      </c>
      <c r="D1746">
        <v>2</v>
      </c>
    </row>
    <row r="1747" spans="1:4" x14ac:dyDescent="0.35">
      <c r="A1747" t="s">
        <v>1888</v>
      </c>
      <c r="B1747">
        <v>1183</v>
      </c>
      <c r="C1747">
        <v>999</v>
      </c>
      <c r="D1747">
        <v>0</v>
      </c>
    </row>
    <row r="1748" spans="1:4" x14ac:dyDescent="0.35">
      <c r="A1748" t="s">
        <v>1889</v>
      </c>
      <c r="B1748">
        <v>4750</v>
      </c>
      <c r="C1748">
        <v>1982</v>
      </c>
      <c r="D1748">
        <v>0</v>
      </c>
    </row>
    <row r="1749" spans="1:4" x14ac:dyDescent="0.35">
      <c r="A1749" t="s">
        <v>1890</v>
      </c>
      <c r="B1749">
        <v>2657</v>
      </c>
      <c r="C1749">
        <v>3130</v>
      </c>
      <c r="D1749">
        <v>1</v>
      </c>
    </row>
    <row r="1750" spans="1:4" x14ac:dyDescent="0.35">
      <c r="A1750" t="s">
        <v>1891</v>
      </c>
      <c r="B1750">
        <v>500</v>
      </c>
      <c r="C1750">
        <v>333</v>
      </c>
      <c r="D1750">
        <v>0</v>
      </c>
    </row>
    <row r="1751" spans="1:4" x14ac:dyDescent="0.35">
      <c r="A1751" t="s">
        <v>1892</v>
      </c>
      <c r="B1751">
        <v>137661</v>
      </c>
      <c r="C1751">
        <v>137661</v>
      </c>
      <c r="D1751">
        <v>198</v>
      </c>
    </row>
    <row r="1752" spans="1:4" x14ac:dyDescent="0.35">
      <c r="A1752" t="s">
        <v>1893</v>
      </c>
      <c r="B1752">
        <v>18500</v>
      </c>
      <c r="C1752">
        <v>18125</v>
      </c>
      <c r="D1752">
        <v>12</v>
      </c>
    </row>
    <row r="1753" spans="1:4" x14ac:dyDescent="0.35">
      <c r="A1753" t="s">
        <v>1894</v>
      </c>
      <c r="B1753">
        <v>163</v>
      </c>
      <c r="C1753">
        <v>155</v>
      </c>
      <c r="D1753">
        <v>17846</v>
      </c>
    </row>
    <row r="1754" spans="1:4" x14ac:dyDescent="0.35">
      <c r="A1754" t="s">
        <v>1895</v>
      </c>
      <c r="B1754">
        <v>131</v>
      </c>
      <c r="C1754">
        <v>129</v>
      </c>
      <c r="D1754">
        <v>534700</v>
      </c>
    </row>
    <row r="1755" spans="1:4" x14ac:dyDescent="0.35">
      <c r="A1755" t="s">
        <v>1896</v>
      </c>
      <c r="B1755">
        <v>139</v>
      </c>
      <c r="C1755">
        <v>135</v>
      </c>
      <c r="D1755">
        <v>5783</v>
      </c>
    </row>
    <row r="1756" spans="1:4" x14ac:dyDescent="0.35">
      <c r="A1756" t="s">
        <v>1897</v>
      </c>
      <c r="B1756">
        <v>760</v>
      </c>
      <c r="C1756">
        <v>746</v>
      </c>
      <c r="D1756">
        <v>134</v>
      </c>
    </row>
    <row r="1757" spans="1:4" x14ac:dyDescent="0.35">
      <c r="A1757" t="s">
        <v>1898</v>
      </c>
      <c r="B1757">
        <v>17</v>
      </c>
      <c r="C1757">
        <v>15</v>
      </c>
      <c r="D1757">
        <v>1</v>
      </c>
    </row>
    <row r="1758" spans="1:4" x14ac:dyDescent="0.35">
      <c r="A1758" t="s">
        <v>1899</v>
      </c>
      <c r="B1758">
        <v>192549</v>
      </c>
      <c r="C1758">
        <v>173269</v>
      </c>
      <c r="D1758">
        <v>4</v>
      </c>
    </row>
    <row r="1759" spans="1:4" x14ac:dyDescent="0.35">
      <c r="A1759" t="s">
        <v>1900</v>
      </c>
      <c r="B1759">
        <v>474669</v>
      </c>
      <c r="C1759">
        <v>437602</v>
      </c>
      <c r="D1759">
        <v>3</v>
      </c>
    </row>
    <row r="1760" spans="1:4" x14ac:dyDescent="0.35">
      <c r="A1760" t="s">
        <v>1901</v>
      </c>
      <c r="B1760">
        <v>998</v>
      </c>
      <c r="C1760">
        <v>996</v>
      </c>
      <c r="D1760">
        <v>283</v>
      </c>
    </row>
    <row r="1761" spans="1:4" x14ac:dyDescent="0.35">
      <c r="A1761" t="s">
        <v>1902</v>
      </c>
      <c r="B1761">
        <v>1296</v>
      </c>
      <c r="C1761">
        <v>1296</v>
      </c>
      <c r="D1761">
        <v>266</v>
      </c>
    </row>
    <row r="1762" spans="1:4" x14ac:dyDescent="0.35">
      <c r="A1762" t="s">
        <v>1903</v>
      </c>
      <c r="B1762">
        <v>705</v>
      </c>
      <c r="C1762">
        <v>700</v>
      </c>
      <c r="D1762">
        <v>30</v>
      </c>
    </row>
    <row r="1763" spans="1:4" x14ac:dyDescent="0.35">
      <c r="A1763" t="s">
        <v>1904</v>
      </c>
      <c r="B1763">
        <v>2100</v>
      </c>
      <c r="C1763">
        <v>2041</v>
      </c>
      <c r="D1763">
        <v>3898</v>
      </c>
    </row>
    <row r="1764" spans="1:4" x14ac:dyDescent="0.35">
      <c r="A1764" t="s">
        <v>1905</v>
      </c>
      <c r="B1764">
        <v>874464</v>
      </c>
      <c r="C1764">
        <v>832955</v>
      </c>
      <c r="D1764">
        <v>10</v>
      </c>
    </row>
    <row r="1765" spans="1:4" x14ac:dyDescent="0.35">
      <c r="A1765" t="s">
        <v>1906</v>
      </c>
      <c r="B1765">
        <v>1500</v>
      </c>
      <c r="C1765">
        <v>467</v>
      </c>
      <c r="D1765">
        <v>39</v>
      </c>
    </row>
    <row r="1766" spans="1:4" x14ac:dyDescent="0.35">
      <c r="A1766" t="s">
        <v>1907</v>
      </c>
      <c r="B1766">
        <v>1011</v>
      </c>
      <c r="C1766">
        <v>957</v>
      </c>
      <c r="D1766">
        <v>0</v>
      </c>
    </row>
    <row r="1767" spans="1:4" x14ac:dyDescent="0.35">
      <c r="A1767" t="s">
        <v>1908</v>
      </c>
      <c r="B1767">
        <v>361</v>
      </c>
      <c r="C1767">
        <v>769</v>
      </c>
      <c r="D1767">
        <v>0</v>
      </c>
    </row>
    <row r="1768" spans="1:4" x14ac:dyDescent="0.35">
      <c r="A1768" t="s">
        <v>1909</v>
      </c>
      <c r="B1768">
        <v>702</v>
      </c>
      <c r="C1768">
        <v>779</v>
      </c>
      <c r="D1768">
        <v>1</v>
      </c>
    </row>
    <row r="1769" spans="1:4" x14ac:dyDescent="0.35">
      <c r="A1769" t="s">
        <v>1910</v>
      </c>
      <c r="B1769">
        <v>9</v>
      </c>
      <c r="C1769">
        <v>7</v>
      </c>
      <c r="D1769">
        <v>184</v>
      </c>
    </row>
    <row r="1770" spans="1:4" x14ac:dyDescent="0.35">
      <c r="A1770" t="s">
        <v>1911</v>
      </c>
      <c r="B1770">
        <v>191906</v>
      </c>
      <c r="C1770">
        <v>185306</v>
      </c>
      <c r="D1770">
        <v>5</v>
      </c>
    </row>
    <row r="1771" spans="1:4" x14ac:dyDescent="0.35">
      <c r="A1771" t="s">
        <v>1912</v>
      </c>
      <c r="B1771">
        <v>125</v>
      </c>
      <c r="C1771">
        <v>72</v>
      </c>
      <c r="D1771">
        <v>3</v>
      </c>
    </row>
    <row r="1772" spans="1:4" x14ac:dyDescent="0.35">
      <c r="A1772" t="s">
        <v>1913</v>
      </c>
      <c r="B1772">
        <v>100</v>
      </c>
      <c r="C1772">
        <v>93</v>
      </c>
      <c r="D1772">
        <v>7</v>
      </c>
    </row>
    <row r="1773" spans="1:4" x14ac:dyDescent="0.35">
      <c r="A1773" t="s">
        <v>1914</v>
      </c>
      <c r="B1773">
        <v>22222</v>
      </c>
      <c r="C1773">
        <v>29999</v>
      </c>
      <c r="D1773">
        <v>12</v>
      </c>
    </row>
    <row r="1774" spans="1:4" x14ac:dyDescent="0.35">
      <c r="A1774" t="s">
        <v>1915</v>
      </c>
      <c r="B1774">
        <v>78900</v>
      </c>
      <c r="C1774">
        <v>67100</v>
      </c>
      <c r="D1774">
        <v>20</v>
      </c>
    </row>
    <row r="1775" spans="1:4" x14ac:dyDescent="0.35">
      <c r="A1775" t="s">
        <v>1916</v>
      </c>
      <c r="B1775">
        <v>277277</v>
      </c>
      <c r="C1775">
        <v>276188</v>
      </c>
      <c r="D1775">
        <v>11</v>
      </c>
    </row>
    <row r="1776" spans="1:4" x14ac:dyDescent="0.35">
      <c r="A1776" t="s">
        <v>1917</v>
      </c>
      <c r="B1776">
        <v>2120943</v>
      </c>
      <c r="C1776">
        <v>1728996</v>
      </c>
      <c r="D1776">
        <v>0</v>
      </c>
    </row>
    <row r="1777" spans="1:4" x14ac:dyDescent="0.35">
      <c r="A1777" t="s">
        <v>1918</v>
      </c>
      <c r="B1777">
        <v>80557</v>
      </c>
      <c r="C1777">
        <v>73125</v>
      </c>
      <c r="D1777">
        <v>16</v>
      </c>
    </row>
    <row r="1778" spans="1:4" x14ac:dyDescent="0.35">
      <c r="A1778" t="s">
        <v>1919</v>
      </c>
      <c r="B1778">
        <v>3994091</v>
      </c>
      <c r="C1778">
        <v>3947111</v>
      </c>
      <c r="D1778">
        <v>29</v>
      </c>
    </row>
    <row r="1779" spans="1:4" x14ac:dyDescent="0.35">
      <c r="A1779" t="s">
        <v>1920</v>
      </c>
      <c r="B1779">
        <v>28217</v>
      </c>
      <c r="C1779">
        <v>27110</v>
      </c>
      <c r="D1779">
        <v>11</v>
      </c>
    </row>
    <row r="1780" spans="1:4" x14ac:dyDescent="0.35">
      <c r="A1780" t="s">
        <v>1921</v>
      </c>
      <c r="B1780">
        <v>45388</v>
      </c>
      <c r="C1780">
        <v>41519</v>
      </c>
      <c r="D1780">
        <v>11</v>
      </c>
    </row>
    <row r="1781" spans="1:4" x14ac:dyDescent="0.35">
      <c r="A1781" t="s">
        <v>1922</v>
      </c>
      <c r="B1781">
        <v>23404</v>
      </c>
      <c r="C1781">
        <v>20200</v>
      </c>
      <c r="D1781">
        <v>9</v>
      </c>
    </row>
    <row r="1782" spans="1:4" x14ac:dyDescent="0.35">
      <c r="A1782" t="s">
        <v>1923</v>
      </c>
      <c r="B1782">
        <v>213863</v>
      </c>
      <c r="C1782">
        <v>212000</v>
      </c>
      <c r="D1782">
        <v>235</v>
      </c>
    </row>
    <row r="1783" spans="1:4" x14ac:dyDescent="0.35">
      <c r="A1783" t="s">
        <v>1924</v>
      </c>
      <c r="B1783">
        <v>33075</v>
      </c>
      <c r="C1783">
        <v>25000</v>
      </c>
      <c r="D1783">
        <v>21</v>
      </c>
    </row>
    <row r="1784" spans="1:4" x14ac:dyDescent="0.35">
      <c r="A1784" t="s">
        <v>1925</v>
      </c>
      <c r="B1784">
        <v>33537</v>
      </c>
      <c r="C1784">
        <v>32800</v>
      </c>
      <c r="D1784">
        <v>18</v>
      </c>
    </row>
    <row r="1785" spans="1:4" x14ac:dyDescent="0.35">
      <c r="A1785" t="s">
        <v>1926</v>
      </c>
      <c r="B1785">
        <v>2999</v>
      </c>
      <c r="C1785">
        <v>2351</v>
      </c>
      <c r="D1785">
        <v>4</v>
      </c>
    </row>
    <row r="1786" spans="1:4" x14ac:dyDescent="0.35">
      <c r="A1786" t="s">
        <v>1927</v>
      </c>
      <c r="B1786">
        <v>92</v>
      </c>
      <c r="C1786">
        <v>92</v>
      </c>
      <c r="D1786">
        <v>294924</v>
      </c>
    </row>
    <row r="1787" spans="1:4" x14ac:dyDescent="0.35">
      <c r="A1787" t="s">
        <v>1928</v>
      </c>
      <c r="B1787">
        <v>8874</v>
      </c>
      <c r="C1787">
        <v>25</v>
      </c>
      <c r="D1787">
        <v>0</v>
      </c>
    </row>
    <row r="1788" spans="1:4" x14ac:dyDescent="0.35">
      <c r="A1788" t="s">
        <v>1929</v>
      </c>
      <c r="B1788">
        <v>77</v>
      </c>
      <c r="C1788">
        <v>77</v>
      </c>
      <c r="D1788">
        <v>0</v>
      </c>
    </row>
    <row r="1789" spans="1:4" x14ac:dyDescent="0.35">
      <c r="A1789" t="s">
        <v>1930</v>
      </c>
      <c r="B1789">
        <v>3490</v>
      </c>
      <c r="C1789">
        <v>3948</v>
      </c>
      <c r="D1789">
        <v>2</v>
      </c>
    </row>
    <row r="1790" spans="1:4" x14ac:dyDescent="0.35">
      <c r="A1790" t="s">
        <v>1931</v>
      </c>
      <c r="B1790">
        <v>777</v>
      </c>
      <c r="C1790">
        <v>593</v>
      </c>
      <c r="D1790">
        <v>3</v>
      </c>
    </row>
    <row r="1791" spans="1:4" x14ac:dyDescent="0.35">
      <c r="A1791" t="s">
        <v>1932</v>
      </c>
      <c r="B1791">
        <v>297</v>
      </c>
      <c r="C1791">
        <v>281</v>
      </c>
      <c r="D1791">
        <v>0</v>
      </c>
    </row>
    <row r="1792" spans="1:4" x14ac:dyDescent="0.35">
      <c r="A1792" t="s">
        <v>1933</v>
      </c>
      <c r="B1792">
        <v>4433</v>
      </c>
      <c r="C1792">
        <v>4433</v>
      </c>
      <c r="D1792">
        <v>10100</v>
      </c>
    </row>
    <row r="1793" spans="1:4" x14ac:dyDescent="0.35">
      <c r="A1793" t="s">
        <v>1934</v>
      </c>
      <c r="B1793">
        <v>9000</v>
      </c>
      <c r="C1793">
        <v>4929</v>
      </c>
      <c r="D1793">
        <v>4</v>
      </c>
    </row>
    <row r="1794" spans="1:4" x14ac:dyDescent="0.35">
      <c r="A1794" t="s">
        <v>1935</v>
      </c>
      <c r="B1794">
        <v>4456</v>
      </c>
      <c r="C1794">
        <v>4250</v>
      </c>
      <c r="D1794">
        <v>2</v>
      </c>
    </row>
    <row r="1795" spans="1:4" x14ac:dyDescent="0.35">
      <c r="A1795" t="s">
        <v>1936</v>
      </c>
      <c r="B1795">
        <v>2136</v>
      </c>
      <c r="C1795">
        <v>2164</v>
      </c>
      <c r="D1795">
        <v>85</v>
      </c>
    </row>
    <row r="1796" spans="1:4" x14ac:dyDescent="0.35">
      <c r="A1796" t="s">
        <v>1937</v>
      </c>
      <c r="B1796">
        <v>40729</v>
      </c>
      <c r="C1796">
        <v>38694</v>
      </c>
      <c r="D1796">
        <v>4</v>
      </c>
    </row>
    <row r="1797" spans="1:4" x14ac:dyDescent="0.35">
      <c r="A1797" t="s">
        <v>1938</v>
      </c>
      <c r="B1797">
        <v>9500</v>
      </c>
      <c r="C1797">
        <v>6500</v>
      </c>
      <c r="D1797">
        <v>3</v>
      </c>
    </row>
    <row r="1798" spans="1:4" x14ac:dyDescent="0.35">
      <c r="A1798" t="s">
        <v>1939</v>
      </c>
      <c r="B1798">
        <v>2556</v>
      </c>
      <c r="C1798">
        <v>2370</v>
      </c>
      <c r="D1798">
        <v>6</v>
      </c>
    </row>
    <row r="1799" spans="1:4" x14ac:dyDescent="0.35">
      <c r="A1799" t="s">
        <v>1940</v>
      </c>
      <c r="B1799">
        <v>1324</v>
      </c>
      <c r="C1799">
        <v>1314</v>
      </c>
      <c r="D1799">
        <v>18</v>
      </c>
    </row>
    <row r="1800" spans="1:4" x14ac:dyDescent="0.35">
      <c r="A1800" t="s">
        <v>1941</v>
      </c>
      <c r="B1800">
        <v>600000</v>
      </c>
      <c r="C1800">
        <v>400000</v>
      </c>
      <c r="D1800">
        <v>0</v>
      </c>
    </row>
    <row r="1801" spans="1:4" x14ac:dyDescent="0.35">
      <c r="A1801" t="s">
        <v>1942</v>
      </c>
      <c r="B1801">
        <v>1978</v>
      </c>
      <c r="C1801">
        <v>1867</v>
      </c>
      <c r="D1801">
        <v>50696</v>
      </c>
    </row>
    <row r="1802" spans="1:4" x14ac:dyDescent="0.35">
      <c r="A1802" t="s">
        <v>1943</v>
      </c>
      <c r="B1802">
        <v>5665</v>
      </c>
      <c r="C1802">
        <v>6860</v>
      </c>
      <c r="D1802">
        <v>3</v>
      </c>
    </row>
    <row r="1803" spans="1:4" x14ac:dyDescent="0.35">
      <c r="A1803" t="s">
        <v>1944</v>
      </c>
      <c r="B1803">
        <v>1633</v>
      </c>
      <c r="C1803">
        <v>1631</v>
      </c>
      <c r="D1803">
        <v>18524</v>
      </c>
    </row>
    <row r="1804" spans="1:4" x14ac:dyDescent="0.35">
      <c r="A1804" t="s">
        <v>1945</v>
      </c>
      <c r="B1804">
        <v>8621</v>
      </c>
      <c r="C1804">
        <v>8190</v>
      </c>
      <c r="D1804">
        <v>7</v>
      </c>
    </row>
    <row r="1805" spans="1:4" x14ac:dyDescent="0.35">
      <c r="A1805" t="s">
        <v>1946</v>
      </c>
      <c r="B1805">
        <v>789</v>
      </c>
      <c r="C1805">
        <v>555</v>
      </c>
      <c r="D1805">
        <v>15</v>
      </c>
    </row>
    <row r="1806" spans="1:4" x14ac:dyDescent="0.35">
      <c r="A1806" t="s">
        <v>1947</v>
      </c>
      <c r="B1806">
        <v>178840</v>
      </c>
      <c r="C1806">
        <v>178840</v>
      </c>
      <c r="D1806">
        <v>1</v>
      </c>
    </row>
    <row r="1807" spans="1:4" x14ac:dyDescent="0.35">
      <c r="A1807" t="s">
        <v>1948</v>
      </c>
      <c r="B1807">
        <v>25000</v>
      </c>
      <c r="C1807">
        <v>4853</v>
      </c>
      <c r="D1807">
        <v>0</v>
      </c>
    </row>
    <row r="1808" spans="1:4" x14ac:dyDescent="0.35">
      <c r="A1808" t="s">
        <v>1949</v>
      </c>
      <c r="B1808">
        <v>7528</v>
      </c>
      <c r="C1808">
        <v>11617</v>
      </c>
      <c r="D1808">
        <v>0</v>
      </c>
    </row>
    <row r="1809" spans="1:4" x14ac:dyDescent="0.35">
      <c r="A1809" t="s">
        <v>1950</v>
      </c>
      <c r="B1809">
        <v>27791</v>
      </c>
      <c r="C1809">
        <v>24309</v>
      </c>
      <c r="D1809">
        <v>0</v>
      </c>
    </row>
    <row r="1810" spans="1:4" x14ac:dyDescent="0.35">
      <c r="A1810" t="s">
        <v>1951</v>
      </c>
      <c r="B1810">
        <v>71</v>
      </c>
      <c r="C1810">
        <v>126</v>
      </c>
      <c r="D1810">
        <v>385</v>
      </c>
    </row>
    <row r="1811" spans="1:4" x14ac:dyDescent="0.35">
      <c r="A1811" t="s">
        <v>1952</v>
      </c>
      <c r="B1811">
        <v>11920</v>
      </c>
      <c r="C1811">
        <v>10309</v>
      </c>
      <c r="D1811">
        <v>7</v>
      </c>
    </row>
    <row r="1812" spans="1:4" x14ac:dyDescent="0.35">
      <c r="A1812" t="s">
        <v>1953</v>
      </c>
      <c r="B1812">
        <v>812</v>
      </c>
      <c r="C1812">
        <v>250</v>
      </c>
      <c r="D1812">
        <v>5</v>
      </c>
    </row>
    <row r="1813" spans="1:4" x14ac:dyDescent="0.35">
      <c r="A1813" t="s">
        <v>1954</v>
      </c>
      <c r="B1813">
        <v>403</v>
      </c>
      <c r="C1813">
        <v>399</v>
      </c>
      <c r="D1813">
        <v>5</v>
      </c>
    </row>
    <row r="1814" spans="1:4" x14ac:dyDescent="0.35">
      <c r="A1814" t="s">
        <v>1955</v>
      </c>
      <c r="B1814">
        <v>12500</v>
      </c>
      <c r="C1814">
        <v>12000</v>
      </c>
      <c r="D1814">
        <v>22</v>
      </c>
    </row>
    <row r="1815" spans="1:4" x14ac:dyDescent="0.35">
      <c r="A1815" t="s">
        <v>1956</v>
      </c>
      <c r="B1815">
        <v>1416</v>
      </c>
      <c r="C1815">
        <v>123</v>
      </c>
      <c r="D1815">
        <v>12</v>
      </c>
    </row>
    <row r="1816" spans="1:4" x14ac:dyDescent="0.35">
      <c r="A1816" t="s">
        <v>1957</v>
      </c>
      <c r="B1816">
        <v>1300</v>
      </c>
      <c r="C1816">
        <v>500</v>
      </c>
      <c r="D1816">
        <v>4</v>
      </c>
    </row>
    <row r="1817" spans="1:4" x14ac:dyDescent="0.35">
      <c r="A1817" t="s">
        <v>1958</v>
      </c>
      <c r="B1817">
        <v>9500</v>
      </c>
      <c r="C1817">
        <v>1938</v>
      </c>
      <c r="D1817">
        <v>0</v>
      </c>
    </row>
    <row r="1818" spans="1:4" x14ac:dyDescent="0.35">
      <c r="A1818" t="s">
        <v>1959</v>
      </c>
      <c r="B1818">
        <v>101218</v>
      </c>
      <c r="C1818">
        <v>1001</v>
      </c>
      <c r="D1818">
        <v>1</v>
      </c>
    </row>
    <row r="1819" spans="1:4" x14ac:dyDescent="0.35">
      <c r="A1819" t="s">
        <v>1960</v>
      </c>
      <c r="B1819">
        <v>8800</v>
      </c>
      <c r="C1819">
        <v>8721</v>
      </c>
      <c r="D1819">
        <v>3</v>
      </c>
    </row>
    <row r="1820" spans="1:4" x14ac:dyDescent="0.35">
      <c r="A1820" t="s">
        <v>1961</v>
      </c>
      <c r="B1820">
        <v>69221</v>
      </c>
      <c r="C1820">
        <v>69221</v>
      </c>
      <c r="D1820">
        <v>7</v>
      </c>
    </row>
    <row r="1821" spans="1:4" x14ac:dyDescent="0.35">
      <c r="A1821" t="s">
        <v>1962</v>
      </c>
      <c r="B1821">
        <v>241</v>
      </c>
      <c r="C1821">
        <v>101</v>
      </c>
      <c r="D1821">
        <v>15</v>
      </c>
    </row>
    <row r="1822" spans="1:4" x14ac:dyDescent="0.35">
      <c r="A1822" t="s">
        <v>1963</v>
      </c>
      <c r="B1822">
        <v>175000</v>
      </c>
      <c r="C1822">
        <v>7000</v>
      </c>
      <c r="D1822">
        <v>0</v>
      </c>
    </row>
    <row r="1823" spans="1:4" x14ac:dyDescent="0.35">
      <c r="A1823" t="s">
        <v>1964</v>
      </c>
      <c r="B1823">
        <v>51129</v>
      </c>
      <c r="C1823">
        <v>50004</v>
      </c>
      <c r="D1823">
        <v>7</v>
      </c>
    </row>
    <row r="1824" spans="1:4" x14ac:dyDescent="0.35">
      <c r="A1824" t="s">
        <v>1965</v>
      </c>
      <c r="B1824">
        <v>22545</v>
      </c>
      <c r="C1824">
        <v>23731</v>
      </c>
      <c r="D1824">
        <v>0</v>
      </c>
    </row>
    <row r="1825" spans="1:4" x14ac:dyDescent="0.35">
      <c r="A1825" t="s">
        <v>1966</v>
      </c>
      <c r="B1825">
        <v>233748</v>
      </c>
      <c r="C1825">
        <v>193271</v>
      </c>
      <c r="D1825">
        <v>0</v>
      </c>
    </row>
    <row r="1826" spans="1:4" x14ac:dyDescent="0.35">
      <c r="A1826" t="s">
        <v>1967</v>
      </c>
      <c r="B1826">
        <v>1560</v>
      </c>
      <c r="C1826">
        <v>1446</v>
      </c>
      <c r="D1826">
        <v>1</v>
      </c>
    </row>
    <row r="1827" spans="1:4" x14ac:dyDescent="0.35">
      <c r="A1827" t="s">
        <v>1968</v>
      </c>
      <c r="B1827">
        <v>2500</v>
      </c>
      <c r="C1827">
        <v>1825</v>
      </c>
      <c r="D1827">
        <v>2</v>
      </c>
    </row>
    <row r="1828" spans="1:4" x14ac:dyDescent="0.35">
      <c r="A1828" t="s">
        <v>1969</v>
      </c>
      <c r="B1828">
        <v>1400</v>
      </c>
      <c r="C1828">
        <v>1349</v>
      </c>
      <c r="D1828">
        <v>1</v>
      </c>
    </row>
    <row r="1829" spans="1:4" x14ac:dyDescent="0.35">
      <c r="A1829" t="s">
        <v>1970</v>
      </c>
      <c r="B1829">
        <v>29000</v>
      </c>
      <c r="C1829">
        <v>7000</v>
      </c>
      <c r="D1829">
        <v>0</v>
      </c>
    </row>
    <row r="1830" spans="1:4" x14ac:dyDescent="0.35">
      <c r="A1830" t="s">
        <v>1971</v>
      </c>
      <c r="B1830">
        <v>855</v>
      </c>
      <c r="C1830">
        <v>676</v>
      </c>
      <c r="D1830">
        <v>0</v>
      </c>
    </row>
    <row r="1831" spans="1:4" x14ac:dyDescent="0.35">
      <c r="A1831" t="s">
        <v>1972</v>
      </c>
      <c r="B1831">
        <v>300</v>
      </c>
      <c r="C1831">
        <v>331</v>
      </c>
      <c r="D1831">
        <v>1</v>
      </c>
    </row>
    <row r="1832" spans="1:4" x14ac:dyDescent="0.35">
      <c r="A1832" t="s">
        <v>1973</v>
      </c>
      <c r="B1832">
        <v>11</v>
      </c>
      <c r="C1832">
        <v>11</v>
      </c>
      <c r="D1832">
        <v>25</v>
      </c>
    </row>
    <row r="1833" spans="1:4" x14ac:dyDescent="0.35">
      <c r="A1833" t="s">
        <v>1974</v>
      </c>
      <c r="B1833">
        <v>320000</v>
      </c>
      <c r="C1833">
        <v>232634</v>
      </c>
      <c r="D1833">
        <v>1</v>
      </c>
    </row>
    <row r="1834" spans="1:4" x14ac:dyDescent="0.35">
      <c r="A1834" t="s">
        <v>1975</v>
      </c>
      <c r="B1834">
        <v>60000</v>
      </c>
      <c r="C1834">
        <v>50777</v>
      </c>
      <c r="D1834">
        <v>0</v>
      </c>
    </row>
    <row r="1835" spans="1:4" x14ac:dyDescent="0.35">
      <c r="A1835" t="s">
        <v>1976</v>
      </c>
      <c r="B1835">
        <v>49000</v>
      </c>
      <c r="C1835">
        <v>48663</v>
      </c>
      <c r="D1835">
        <v>4</v>
      </c>
    </row>
    <row r="1836" spans="1:4" x14ac:dyDescent="0.35">
      <c r="A1836" t="s">
        <v>1977</v>
      </c>
      <c r="B1836">
        <v>45239</v>
      </c>
      <c r="C1836">
        <v>32000</v>
      </c>
      <c r="D1836">
        <v>0</v>
      </c>
    </row>
    <row r="1837" spans="1:4" x14ac:dyDescent="0.35">
      <c r="A1837" t="s">
        <v>1978</v>
      </c>
      <c r="B1837">
        <v>42906</v>
      </c>
      <c r="C1837">
        <v>38000</v>
      </c>
      <c r="D1837">
        <v>0</v>
      </c>
    </row>
    <row r="1838" spans="1:4" x14ac:dyDescent="0.35">
      <c r="A1838" t="s">
        <v>1979</v>
      </c>
      <c r="B1838">
        <v>320000</v>
      </c>
      <c r="C1838">
        <v>265757</v>
      </c>
      <c r="D1838">
        <v>1</v>
      </c>
    </row>
    <row r="1839" spans="1:4" x14ac:dyDescent="0.35">
      <c r="A1839" t="s">
        <v>1980</v>
      </c>
      <c r="B1839">
        <v>2199</v>
      </c>
      <c r="C1839">
        <v>2195</v>
      </c>
      <c r="D1839">
        <v>14870</v>
      </c>
    </row>
    <row r="1840" spans="1:4" x14ac:dyDescent="0.35">
      <c r="A1840" t="s">
        <v>1981</v>
      </c>
      <c r="B1840">
        <v>3013</v>
      </c>
      <c r="C1840">
        <v>2914</v>
      </c>
      <c r="D1840">
        <v>15955</v>
      </c>
    </row>
    <row r="1841" spans="1:4" x14ac:dyDescent="0.35">
      <c r="A1841" t="s">
        <v>1982</v>
      </c>
      <c r="B1841">
        <v>2040</v>
      </c>
      <c r="C1841">
        <v>2020</v>
      </c>
      <c r="D1841">
        <v>13982</v>
      </c>
    </row>
    <row r="1842" spans="1:4" x14ac:dyDescent="0.35">
      <c r="A1842" t="s">
        <v>1983</v>
      </c>
      <c r="B1842">
        <v>290</v>
      </c>
      <c r="C1842">
        <v>294</v>
      </c>
      <c r="D1842">
        <v>2677</v>
      </c>
    </row>
    <row r="1843" spans="1:4" x14ac:dyDescent="0.35">
      <c r="A1843" t="s">
        <v>1984</v>
      </c>
      <c r="B1843">
        <v>475</v>
      </c>
      <c r="C1843">
        <v>467</v>
      </c>
      <c r="D1843">
        <v>13914</v>
      </c>
    </row>
    <row r="1844" spans="1:4" x14ac:dyDescent="0.35">
      <c r="A1844" t="s">
        <v>1985</v>
      </c>
      <c r="B1844">
        <v>6700</v>
      </c>
      <c r="C1844">
        <v>6660</v>
      </c>
      <c r="D1844">
        <v>147</v>
      </c>
    </row>
    <row r="1845" spans="1:4" x14ac:dyDescent="0.35">
      <c r="A1845" t="s">
        <v>1986</v>
      </c>
      <c r="B1845">
        <v>2239</v>
      </c>
      <c r="C1845">
        <v>2236</v>
      </c>
      <c r="D1845">
        <v>21233</v>
      </c>
    </row>
    <row r="1846" spans="1:4" x14ac:dyDescent="0.35">
      <c r="A1846" t="s">
        <v>1987</v>
      </c>
      <c r="B1846">
        <v>2783</v>
      </c>
      <c r="C1846">
        <v>2760</v>
      </c>
      <c r="D1846">
        <v>15663</v>
      </c>
    </row>
    <row r="1847" spans="1:4" x14ac:dyDescent="0.35">
      <c r="A1847" t="s">
        <v>1988</v>
      </c>
      <c r="B1847">
        <v>1869</v>
      </c>
      <c r="C1847">
        <v>1859</v>
      </c>
      <c r="D1847">
        <v>10875</v>
      </c>
    </row>
    <row r="1848" spans="1:4" x14ac:dyDescent="0.35">
      <c r="A1848" t="s">
        <v>1989</v>
      </c>
      <c r="B1848">
        <v>222</v>
      </c>
      <c r="C1848">
        <v>164</v>
      </c>
      <c r="D1848">
        <v>1897</v>
      </c>
    </row>
    <row r="1849" spans="1:4" x14ac:dyDescent="0.35">
      <c r="A1849" t="s">
        <v>1990</v>
      </c>
      <c r="B1849">
        <v>5475</v>
      </c>
      <c r="C1849">
        <v>5440</v>
      </c>
      <c r="D1849">
        <v>26236</v>
      </c>
    </row>
    <row r="1850" spans="1:4" x14ac:dyDescent="0.35">
      <c r="A1850" t="s">
        <v>1991</v>
      </c>
      <c r="B1850">
        <v>8250</v>
      </c>
      <c r="C1850">
        <v>8214</v>
      </c>
      <c r="D1850">
        <v>8504</v>
      </c>
    </row>
    <row r="1851" spans="1:4" x14ac:dyDescent="0.35">
      <c r="A1851" t="s">
        <v>1992</v>
      </c>
      <c r="B1851">
        <v>152</v>
      </c>
      <c r="C1851">
        <v>150</v>
      </c>
      <c r="D1851">
        <v>6736</v>
      </c>
    </row>
    <row r="1852" spans="1:4" x14ac:dyDescent="0.35">
      <c r="A1852" t="s">
        <v>1993</v>
      </c>
      <c r="B1852">
        <v>2700</v>
      </c>
      <c r="C1852">
        <v>2700</v>
      </c>
      <c r="D1852">
        <v>14354</v>
      </c>
    </row>
    <row r="1853" spans="1:4" x14ac:dyDescent="0.35">
      <c r="A1853" t="s">
        <v>1994</v>
      </c>
      <c r="B1853">
        <v>3734</v>
      </c>
      <c r="C1853">
        <v>3735</v>
      </c>
      <c r="D1853">
        <v>7574</v>
      </c>
    </row>
    <row r="1854" spans="1:4" x14ac:dyDescent="0.35">
      <c r="A1854" t="s">
        <v>1995</v>
      </c>
      <c r="B1854">
        <v>179</v>
      </c>
      <c r="C1854">
        <v>175</v>
      </c>
      <c r="D1854">
        <v>0</v>
      </c>
    </row>
    <row r="1855" spans="1:4" x14ac:dyDescent="0.35">
      <c r="A1855" t="s">
        <v>1996</v>
      </c>
      <c r="B1855">
        <v>169</v>
      </c>
      <c r="C1855">
        <v>106</v>
      </c>
      <c r="D1855">
        <v>0</v>
      </c>
    </row>
    <row r="1856" spans="1:4" x14ac:dyDescent="0.35">
      <c r="A1856" t="s">
        <v>1997</v>
      </c>
      <c r="B1856">
        <v>35522</v>
      </c>
      <c r="C1856">
        <v>34200</v>
      </c>
      <c r="D1856">
        <v>72</v>
      </c>
    </row>
    <row r="1857" spans="1:4" x14ac:dyDescent="0.35">
      <c r="A1857" t="s">
        <v>1998</v>
      </c>
      <c r="B1857">
        <v>17</v>
      </c>
      <c r="C1857">
        <v>17</v>
      </c>
      <c r="D1857">
        <v>34861</v>
      </c>
    </row>
    <row r="1858" spans="1:4" x14ac:dyDescent="0.35">
      <c r="A1858" t="s">
        <v>1999</v>
      </c>
      <c r="B1858">
        <v>278</v>
      </c>
      <c r="C1858">
        <v>275</v>
      </c>
      <c r="D1858">
        <v>1402</v>
      </c>
    </row>
    <row r="1859" spans="1:4" x14ac:dyDescent="0.35">
      <c r="A1859" t="s">
        <v>165</v>
      </c>
      <c r="B1859">
        <v>505</v>
      </c>
      <c r="C1859">
        <v>461</v>
      </c>
      <c r="D1859">
        <v>1132</v>
      </c>
    </row>
    <row r="1860" spans="1:4" x14ac:dyDescent="0.35">
      <c r="A1860" t="s">
        <v>2000</v>
      </c>
      <c r="B1860">
        <v>15</v>
      </c>
      <c r="C1860">
        <v>13</v>
      </c>
      <c r="D1860">
        <v>1064</v>
      </c>
    </row>
    <row r="1861" spans="1:4" x14ac:dyDescent="0.35">
      <c r="A1861" t="s">
        <v>2001</v>
      </c>
      <c r="B1861">
        <v>10</v>
      </c>
      <c r="C1861">
        <v>11</v>
      </c>
      <c r="D1861">
        <v>1100</v>
      </c>
    </row>
    <row r="1862" spans="1:4" x14ac:dyDescent="0.35">
      <c r="A1862" t="s">
        <v>2002</v>
      </c>
      <c r="B1862">
        <v>2815172</v>
      </c>
      <c r="C1862">
        <v>2709341</v>
      </c>
      <c r="D1862">
        <v>23</v>
      </c>
    </row>
    <row r="1863" spans="1:4" x14ac:dyDescent="0.35">
      <c r="A1863" t="s">
        <v>2003</v>
      </c>
      <c r="B1863">
        <v>739995</v>
      </c>
      <c r="C1863">
        <v>703231</v>
      </c>
      <c r="D1863">
        <v>16</v>
      </c>
    </row>
    <row r="1864" spans="1:4" x14ac:dyDescent="0.35">
      <c r="A1864" t="s">
        <v>2004</v>
      </c>
      <c r="B1864">
        <v>236777</v>
      </c>
      <c r="C1864">
        <v>219584</v>
      </c>
      <c r="D1864">
        <v>9</v>
      </c>
    </row>
    <row r="1865" spans="1:4" x14ac:dyDescent="0.35">
      <c r="A1865" t="s">
        <v>2005</v>
      </c>
      <c r="B1865">
        <v>163501</v>
      </c>
      <c r="C1865">
        <v>166300</v>
      </c>
      <c r="D1865">
        <v>3</v>
      </c>
    </row>
    <row r="1866" spans="1:4" x14ac:dyDescent="0.35">
      <c r="A1866" t="s">
        <v>2006</v>
      </c>
      <c r="B1866">
        <v>149499</v>
      </c>
      <c r="C1866">
        <v>129000</v>
      </c>
      <c r="D1866">
        <v>13</v>
      </c>
    </row>
    <row r="1867" spans="1:4" x14ac:dyDescent="0.35">
      <c r="A1867" t="s">
        <v>2007</v>
      </c>
      <c r="B1867">
        <v>77200</v>
      </c>
      <c r="C1867">
        <v>75001</v>
      </c>
      <c r="D1867">
        <v>1</v>
      </c>
    </row>
    <row r="1868" spans="1:4" x14ac:dyDescent="0.35">
      <c r="A1868" t="s">
        <v>2008</v>
      </c>
      <c r="B1868">
        <v>250973</v>
      </c>
      <c r="C1868">
        <v>243961</v>
      </c>
      <c r="D1868">
        <v>8</v>
      </c>
    </row>
    <row r="1869" spans="1:4" x14ac:dyDescent="0.35">
      <c r="A1869" t="s">
        <v>2009</v>
      </c>
      <c r="B1869">
        <v>184895</v>
      </c>
      <c r="C1869">
        <v>170000</v>
      </c>
      <c r="D1869">
        <v>3</v>
      </c>
    </row>
    <row r="1870" spans="1:4" x14ac:dyDescent="0.35">
      <c r="A1870" t="s">
        <v>2010</v>
      </c>
      <c r="B1870">
        <v>90902</v>
      </c>
      <c r="C1870">
        <v>85000</v>
      </c>
      <c r="D1870">
        <v>3</v>
      </c>
    </row>
    <row r="1871" spans="1:4" x14ac:dyDescent="0.35">
      <c r="A1871" t="s">
        <v>2011</v>
      </c>
      <c r="B1871">
        <v>59283</v>
      </c>
      <c r="C1871">
        <v>68954</v>
      </c>
      <c r="D1871">
        <v>1</v>
      </c>
    </row>
    <row r="1872" spans="1:4" x14ac:dyDescent="0.35">
      <c r="A1872" t="s">
        <v>2012</v>
      </c>
      <c r="B1872">
        <v>192962</v>
      </c>
      <c r="C1872">
        <v>187231</v>
      </c>
      <c r="D1872">
        <v>5</v>
      </c>
    </row>
    <row r="1873" spans="1:4" x14ac:dyDescent="0.35">
      <c r="A1873" t="s">
        <v>2013</v>
      </c>
      <c r="B1873">
        <v>201710</v>
      </c>
      <c r="C1873">
        <v>150000</v>
      </c>
      <c r="D1873">
        <v>0</v>
      </c>
    </row>
    <row r="1874" spans="1:4" x14ac:dyDescent="0.35">
      <c r="A1874" t="s">
        <v>2014</v>
      </c>
      <c r="B1874">
        <v>19999</v>
      </c>
      <c r="C1874">
        <v>19999</v>
      </c>
      <c r="D1874">
        <v>0</v>
      </c>
    </row>
    <row r="1875" spans="1:4" x14ac:dyDescent="0.35">
      <c r="A1875" t="s">
        <v>2015</v>
      </c>
      <c r="B1875">
        <v>20000</v>
      </c>
      <c r="C1875">
        <v>12</v>
      </c>
      <c r="D1875">
        <v>0</v>
      </c>
    </row>
    <row r="1876" spans="1:4" x14ac:dyDescent="0.35">
      <c r="A1876" t="s">
        <v>2016</v>
      </c>
      <c r="B1876">
        <v>183</v>
      </c>
      <c r="C1876">
        <v>201</v>
      </c>
      <c r="D1876">
        <v>0</v>
      </c>
    </row>
    <row r="1877" spans="1:4" x14ac:dyDescent="0.35">
      <c r="A1877" t="s">
        <v>2017</v>
      </c>
      <c r="B1877">
        <v>1156</v>
      </c>
      <c r="C1877">
        <v>1200</v>
      </c>
      <c r="D1877">
        <v>3</v>
      </c>
    </row>
    <row r="1878" spans="1:4" x14ac:dyDescent="0.35">
      <c r="A1878" t="s">
        <v>2018</v>
      </c>
      <c r="B1878">
        <v>29000</v>
      </c>
      <c r="C1878">
        <v>21665</v>
      </c>
      <c r="D1878">
        <v>8</v>
      </c>
    </row>
    <row r="1879" spans="1:4" x14ac:dyDescent="0.35">
      <c r="A1879" t="s">
        <v>2019</v>
      </c>
      <c r="B1879">
        <v>190396</v>
      </c>
      <c r="C1879">
        <v>172324</v>
      </c>
      <c r="D1879">
        <v>6</v>
      </c>
    </row>
    <row r="1880" spans="1:4" x14ac:dyDescent="0.35">
      <c r="A1880" t="s">
        <v>2020</v>
      </c>
      <c r="B1880">
        <v>11500</v>
      </c>
      <c r="C1880">
        <v>9795</v>
      </c>
      <c r="D1880">
        <v>7</v>
      </c>
    </row>
    <row r="1881" spans="1:4" x14ac:dyDescent="0.35">
      <c r="A1881" t="s">
        <v>2021</v>
      </c>
      <c r="B1881">
        <v>66243</v>
      </c>
      <c r="C1881">
        <v>61000</v>
      </c>
      <c r="D1881">
        <v>4</v>
      </c>
    </row>
    <row r="1882" spans="1:4" x14ac:dyDescent="0.35">
      <c r="A1882" t="s">
        <v>2022</v>
      </c>
      <c r="B1882">
        <v>6000</v>
      </c>
      <c r="C1882">
        <v>3250</v>
      </c>
      <c r="D1882">
        <v>2</v>
      </c>
    </row>
    <row r="1883" spans="1:4" x14ac:dyDescent="0.35">
      <c r="A1883" t="s">
        <v>2023</v>
      </c>
      <c r="B1883">
        <v>116078</v>
      </c>
      <c r="C1883">
        <v>102344</v>
      </c>
      <c r="D1883">
        <v>12</v>
      </c>
    </row>
    <row r="1884" spans="1:4" x14ac:dyDescent="0.35">
      <c r="A1884" t="s">
        <v>2024</v>
      </c>
      <c r="B1884">
        <v>269109</v>
      </c>
      <c r="C1884">
        <v>253026</v>
      </c>
      <c r="D1884">
        <v>15</v>
      </c>
    </row>
    <row r="1885" spans="1:4" x14ac:dyDescent="0.35">
      <c r="A1885" t="s">
        <v>2025</v>
      </c>
      <c r="B1885">
        <v>360000</v>
      </c>
      <c r="C1885">
        <v>332001</v>
      </c>
      <c r="D1885">
        <v>0</v>
      </c>
    </row>
    <row r="1886" spans="1:4" x14ac:dyDescent="0.35">
      <c r="A1886" t="s">
        <v>2026</v>
      </c>
      <c r="B1886">
        <v>489500</v>
      </c>
      <c r="C1886">
        <v>443223</v>
      </c>
      <c r="D1886">
        <v>1</v>
      </c>
    </row>
    <row r="1887" spans="1:4" x14ac:dyDescent="0.35">
      <c r="A1887" t="s">
        <v>2027</v>
      </c>
      <c r="B1887">
        <v>43409</v>
      </c>
      <c r="C1887">
        <v>27762</v>
      </c>
      <c r="D1887">
        <v>7</v>
      </c>
    </row>
    <row r="1888" spans="1:4" x14ac:dyDescent="0.35">
      <c r="A1888" t="s">
        <v>2028</v>
      </c>
      <c r="B1888">
        <v>36446</v>
      </c>
      <c r="C1888">
        <v>35800</v>
      </c>
      <c r="D1888">
        <v>0</v>
      </c>
    </row>
    <row r="1889" spans="1:4" x14ac:dyDescent="0.35">
      <c r="A1889" t="s">
        <v>2029</v>
      </c>
      <c r="B1889">
        <v>6900</v>
      </c>
      <c r="C1889">
        <v>5645</v>
      </c>
      <c r="D1889">
        <v>16</v>
      </c>
    </row>
    <row r="1890" spans="1:4" x14ac:dyDescent="0.35">
      <c r="A1890" t="s">
        <v>2030</v>
      </c>
      <c r="B1890">
        <v>17420</v>
      </c>
      <c r="C1890">
        <v>8874</v>
      </c>
      <c r="D1890">
        <v>0</v>
      </c>
    </row>
    <row r="1891" spans="1:4" x14ac:dyDescent="0.35">
      <c r="A1891" t="s">
        <v>2031</v>
      </c>
      <c r="B1891">
        <v>3232</v>
      </c>
      <c r="C1891">
        <v>2005</v>
      </c>
      <c r="D1891">
        <v>10</v>
      </c>
    </row>
    <row r="1892" spans="1:4" x14ac:dyDescent="0.35">
      <c r="A1892" t="s">
        <v>2032</v>
      </c>
      <c r="B1892">
        <v>1465</v>
      </c>
      <c r="C1892">
        <v>1400</v>
      </c>
      <c r="D1892">
        <v>9</v>
      </c>
    </row>
    <row r="1893" spans="1:4" x14ac:dyDescent="0.35">
      <c r="A1893" t="s">
        <v>2033</v>
      </c>
      <c r="B1893">
        <v>1624</v>
      </c>
      <c r="C1893">
        <v>1500</v>
      </c>
      <c r="D1893">
        <v>16</v>
      </c>
    </row>
    <row r="1894" spans="1:4" x14ac:dyDescent="0.35">
      <c r="A1894" t="s">
        <v>2034</v>
      </c>
      <c r="B1894">
        <v>1666</v>
      </c>
      <c r="C1894">
        <v>1500</v>
      </c>
      <c r="D1894">
        <v>10</v>
      </c>
    </row>
    <row r="1895" spans="1:4" x14ac:dyDescent="0.35">
      <c r="A1895" t="s">
        <v>2035</v>
      </c>
      <c r="B1895">
        <v>39999</v>
      </c>
      <c r="C1895">
        <v>39239</v>
      </c>
      <c r="D1895">
        <v>5</v>
      </c>
    </row>
    <row r="1896" spans="1:4" x14ac:dyDescent="0.35">
      <c r="A1896" t="s">
        <v>2036</v>
      </c>
      <c r="B1896">
        <v>41000</v>
      </c>
      <c r="C1896">
        <v>37400</v>
      </c>
      <c r="D1896">
        <v>5</v>
      </c>
    </row>
    <row r="1897" spans="1:4" x14ac:dyDescent="0.35">
      <c r="A1897" t="s">
        <v>2037</v>
      </c>
      <c r="B1897">
        <v>41065</v>
      </c>
      <c r="C1897">
        <v>37540</v>
      </c>
      <c r="D1897">
        <v>3</v>
      </c>
    </row>
    <row r="1898" spans="1:4" x14ac:dyDescent="0.35">
      <c r="A1898" t="s">
        <v>2038</v>
      </c>
      <c r="B1898">
        <v>508</v>
      </c>
      <c r="C1898">
        <v>250</v>
      </c>
      <c r="D1898">
        <v>413</v>
      </c>
    </row>
    <row r="1899" spans="1:4" x14ac:dyDescent="0.35">
      <c r="A1899" t="s">
        <v>2039</v>
      </c>
      <c r="B1899">
        <v>955</v>
      </c>
      <c r="C1899">
        <v>700</v>
      </c>
      <c r="D1899">
        <v>442</v>
      </c>
    </row>
    <row r="1900" spans="1:4" x14ac:dyDescent="0.35">
      <c r="A1900" t="s">
        <v>2040</v>
      </c>
      <c r="B1900">
        <v>1966</v>
      </c>
      <c r="C1900">
        <v>2026</v>
      </c>
      <c r="D1900">
        <v>1</v>
      </c>
    </row>
    <row r="1901" spans="1:4" x14ac:dyDescent="0.35">
      <c r="A1901" t="s">
        <v>2041</v>
      </c>
      <c r="B1901">
        <v>3034</v>
      </c>
      <c r="C1901">
        <v>2785</v>
      </c>
      <c r="D1901">
        <v>275</v>
      </c>
    </row>
    <row r="1902" spans="1:4" x14ac:dyDescent="0.35">
      <c r="A1902" t="s">
        <v>2042</v>
      </c>
      <c r="B1902">
        <v>38791</v>
      </c>
      <c r="C1902">
        <v>31440</v>
      </c>
      <c r="D1902">
        <v>2</v>
      </c>
    </row>
    <row r="1903" spans="1:4" x14ac:dyDescent="0.35">
      <c r="A1903" t="s">
        <v>2043</v>
      </c>
      <c r="B1903">
        <v>44345</v>
      </c>
      <c r="C1903">
        <v>38449</v>
      </c>
      <c r="D1903">
        <v>5</v>
      </c>
    </row>
    <row r="1904" spans="1:4" x14ac:dyDescent="0.35">
      <c r="A1904" t="s">
        <v>2044</v>
      </c>
      <c r="B1904">
        <v>3606</v>
      </c>
      <c r="C1904">
        <v>1000</v>
      </c>
      <c r="D1904">
        <v>1</v>
      </c>
    </row>
    <row r="1905" spans="1:4" x14ac:dyDescent="0.35">
      <c r="A1905" t="s">
        <v>2045</v>
      </c>
      <c r="B1905">
        <v>13937</v>
      </c>
      <c r="C1905">
        <v>13378</v>
      </c>
      <c r="D1905">
        <v>758</v>
      </c>
    </row>
    <row r="1906" spans="1:4" x14ac:dyDescent="0.35">
      <c r="A1906" t="s">
        <v>2046</v>
      </c>
      <c r="B1906">
        <v>525</v>
      </c>
      <c r="C1906">
        <v>410</v>
      </c>
      <c r="D1906">
        <v>0</v>
      </c>
    </row>
    <row r="1907" spans="1:4" x14ac:dyDescent="0.35">
      <c r="A1907" t="s">
        <v>123</v>
      </c>
      <c r="B1907">
        <v>299</v>
      </c>
      <c r="C1907">
        <v>200</v>
      </c>
      <c r="D1907">
        <v>56</v>
      </c>
    </row>
    <row r="1908" spans="1:4" x14ac:dyDescent="0.35">
      <c r="A1908" t="s">
        <v>2047</v>
      </c>
      <c r="B1908">
        <v>2299</v>
      </c>
      <c r="C1908">
        <v>2500</v>
      </c>
      <c r="D1908">
        <v>0</v>
      </c>
    </row>
    <row r="1909" spans="1:4" x14ac:dyDescent="0.35">
      <c r="A1909" t="s">
        <v>2048</v>
      </c>
      <c r="B1909">
        <v>4800</v>
      </c>
      <c r="C1909">
        <v>5009</v>
      </c>
      <c r="D1909">
        <v>2</v>
      </c>
    </row>
    <row r="1910" spans="1:4" x14ac:dyDescent="0.35">
      <c r="A1910" t="s">
        <v>2049</v>
      </c>
      <c r="B1910">
        <v>8200</v>
      </c>
      <c r="C1910">
        <v>8111</v>
      </c>
      <c r="D1910">
        <v>3</v>
      </c>
    </row>
    <row r="1911" spans="1:4" x14ac:dyDescent="0.35">
      <c r="A1911" t="s">
        <v>2050</v>
      </c>
      <c r="B1911">
        <v>13951</v>
      </c>
      <c r="C1911">
        <v>13000</v>
      </c>
      <c r="D1911">
        <v>299</v>
      </c>
    </row>
    <row r="1912" spans="1:4" x14ac:dyDescent="0.35">
      <c r="A1912" t="s">
        <v>56</v>
      </c>
      <c r="B1912">
        <v>7000</v>
      </c>
      <c r="C1912">
        <v>7000</v>
      </c>
      <c r="D1912">
        <v>426</v>
      </c>
    </row>
    <row r="1913" spans="1:4" x14ac:dyDescent="0.35">
      <c r="A1913" t="s">
        <v>2051</v>
      </c>
      <c r="B1913">
        <v>292</v>
      </c>
      <c r="C1913">
        <v>210000</v>
      </c>
      <c r="D1913">
        <v>0</v>
      </c>
    </row>
    <row r="1914" spans="1:4" x14ac:dyDescent="0.35">
      <c r="A1914" t="s">
        <v>2052</v>
      </c>
      <c r="B1914">
        <v>13875</v>
      </c>
      <c r="C1914">
        <v>13182</v>
      </c>
      <c r="D1914">
        <v>110</v>
      </c>
    </row>
    <row r="1915" spans="1:4" x14ac:dyDescent="0.35">
      <c r="A1915" t="s">
        <v>2053</v>
      </c>
      <c r="B1915">
        <v>30198</v>
      </c>
      <c r="C1915">
        <v>30001</v>
      </c>
      <c r="D1915">
        <v>1</v>
      </c>
    </row>
    <row r="1916" spans="1:4" x14ac:dyDescent="0.35">
      <c r="A1916" t="s">
        <v>2054</v>
      </c>
      <c r="B1916">
        <v>3658</v>
      </c>
      <c r="C1916">
        <v>3484</v>
      </c>
      <c r="D1916">
        <v>1149</v>
      </c>
    </row>
    <row r="1917" spans="1:4" x14ac:dyDescent="0.35">
      <c r="A1917" t="s">
        <v>2055</v>
      </c>
      <c r="B1917">
        <v>36000</v>
      </c>
      <c r="C1917">
        <v>35500</v>
      </c>
      <c r="D1917">
        <v>4</v>
      </c>
    </row>
    <row r="1918" spans="1:4" x14ac:dyDescent="0.35">
      <c r="A1918" t="s">
        <v>2056</v>
      </c>
      <c r="B1918">
        <v>4041</v>
      </c>
      <c r="C1918">
        <v>4041</v>
      </c>
      <c r="D1918">
        <v>21</v>
      </c>
    </row>
    <row r="1919" spans="1:4" x14ac:dyDescent="0.35">
      <c r="A1919" t="s">
        <v>2057</v>
      </c>
      <c r="B1919">
        <v>1903</v>
      </c>
      <c r="C1919">
        <v>2807</v>
      </c>
      <c r="D1919">
        <v>24</v>
      </c>
    </row>
    <row r="1920" spans="1:4" x14ac:dyDescent="0.35">
      <c r="A1920" t="s">
        <v>2058</v>
      </c>
      <c r="B1920">
        <v>1276</v>
      </c>
      <c r="C1920">
        <v>1000</v>
      </c>
      <c r="D1920">
        <v>27</v>
      </c>
    </row>
    <row r="1921" spans="1:4" x14ac:dyDescent="0.35">
      <c r="A1921" t="s">
        <v>2059</v>
      </c>
      <c r="B1921">
        <v>146</v>
      </c>
      <c r="C1921">
        <v>85</v>
      </c>
      <c r="D1921">
        <v>13</v>
      </c>
    </row>
    <row r="1922" spans="1:4" x14ac:dyDescent="0.35">
      <c r="A1922" t="s">
        <v>2060</v>
      </c>
      <c r="B1922">
        <v>1415271</v>
      </c>
      <c r="C1922">
        <v>1367690</v>
      </c>
      <c r="D1922">
        <v>4</v>
      </c>
    </row>
    <row r="1923" spans="1:4" x14ac:dyDescent="0.35">
      <c r="A1923" t="s">
        <v>2061</v>
      </c>
      <c r="B1923">
        <v>2103</v>
      </c>
      <c r="C1923">
        <v>1001</v>
      </c>
      <c r="D1923">
        <v>26</v>
      </c>
    </row>
    <row r="1924" spans="1:4" x14ac:dyDescent="0.35">
      <c r="A1924" t="s">
        <v>2062</v>
      </c>
      <c r="B1924">
        <v>321</v>
      </c>
      <c r="C1924">
        <v>606</v>
      </c>
      <c r="D1924">
        <v>19</v>
      </c>
    </row>
    <row r="1925" spans="1:4" x14ac:dyDescent="0.35">
      <c r="A1925" t="s">
        <v>2063</v>
      </c>
      <c r="B1925">
        <v>126</v>
      </c>
      <c r="C1925">
        <v>100</v>
      </c>
      <c r="D1925">
        <v>16</v>
      </c>
    </row>
    <row r="1926" spans="1:4" x14ac:dyDescent="0.35">
      <c r="A1926" t="s">
        <v>2064</v>
      </c>
      <c r="B1926">
        <v>207</v>
      </c>
      <c r="C1926">
        <v>200</v>
      </c>
      <c r="D1926">
        <v>135</v>
      </c>
    </row>
    <row r="1927" spans="1:4" x14ac:dyDescent="0.35">
      <c r="A1927" t="s">
        <v>2065</v>
      </c>
      <c r="B1927">
        <v>76</v>
      </c>
      <c r="C1927">
        <v>76</v>
      </c>
      <c r="D1927">
        <v>100</v>
      </c>
    </row>
    <row r="1928" spans="1:4" x14ac:dyDescent="0.35">
      <c r="A1928" t="s">
        <v>2066</v>
      </c>
      <c r="B1928">
        <v>7</v>
      </c>
      <c r="C1928">
        <v>5</v>
      </c>
      <c r="D1928">
        <v>23631</v>
      </c>
    </row>
    <row r="1929" spans="1:4" x14ac:dyDescent="0.35">
      <c r="A1929" t="s">
        <v>2067</v>
      </c>
      <c r="B1929">
        <v>230</v>
      </c>
      <c r="C1929">
        <v>230</v>
      </c>
      <c r="D1929">
        <v>307</v>
      </c>
    </row>
    <row r="1930" spans="1:4" x14ac:dyDescent="0.35">
      <c r="A1930" t="s">
        <v>2068</v>
      </c>
      <c r="B1930">
        <v>113</v>
      </c>
      <c r="C1930">
        <v>165</v>
      </c>
      <c r="D1930">
        <v>1</v>
      </c>
    </row>
    <row r="1931" spans="1:4" x14ac:dyDescent="0.35">
      <c r="A1931" t="s">
        <v>2069</v>
      </c>
      <c r="B1931">
        <v>2</v>
      </c>
      <c r="C1931">
        <v>2</v>
      </c>
      <c r="D1931">
        <v>2629</v>
      </c>
    </row>
    <row r="1932" spans="1:4" x14ac:dyDescent="0.35">
      <c r="A1932" t="s">
        <v>2070</v>
      </c>
      <c r="B1932">
        <v>197488123</v>
      </c>
      <c r="C1932">
        <v>191940450</v>
      </c>
      <c r="D1932">
        <v>4</v>
      </c>
    </row>
    <row r="1933" spans="1:4" x14ac:dyDescent="0.35">
      <c r="A1933" t="s">
        <v>2071</v>
      </c>
      <c r="B1933">
        <v>2350</v>
      </c>
      <c r="C1933">
        <v>2346</v>
      </c>
      <c r="D1933">
        <v>333</v>
      </c>
    </row>
    <row r="1934" spans="1:4" x14ac:dyDescent="0.35">
      <c r="A1934" t="s">
        <v>2072</v>
      </c>
      <c r="B1934">
        <v>1805</v>
      </c>
      <c r="C1934">
        <v>618</v>
      </c>
      <c r="D1934">
        <v>7</v>
      </c>
    </row>
    <row r="1935" spans="1:4" x14ac:dyDescent="0.35">
      <c r="A1935" t="s">
        <v>2073</v>
      </c>
      <c r="B1935">
        <v>570</v>
      </c>
      <c r="C1935">
        <v>512</v>
      </c>
      <c r="D1935">
        <v>5788</v>
      </c>
    </row>
    <row r="1936" spans="1:4" x14ac:dyDescent="0.35">
      <c r="A1936" t="s">
        <v>77</v>
      </c>
      <c r="B1936">
        <v>665</v>
      </c>
      <c r="C1936">
        <v>632</v>
      </c>
      <c r="D1936">
        <v>3865</v>
      </c>
    </row>
    <row r="1937" spans="1:4" x14ac:dyDescent="0.35">
      <c r="A1937" t="s">
        <v>2074</v>
      </c>
      <c r="B1937">
        <v>22</v>
      </c>
      <c r="C1937">
        <v>10</v>
      </c>
      <c r="D1937">
        <v>3790</v>
      </c>
    </row>
    <row r="1938" spans="1:4" x14ac:dyDescent="0.35">
      <c r="A1938" t="s">
        <v>2075</v>
      </c>
      <c r="B1938">
        <v>2</v>
      </c>
      <c r="C1938">
        <v>2</v>
      </c>
      <c r="D1938">
        <v>10860</v>
      </c>
    </row>
    <row r="1939" spans="1:4" x14ac:dyDescent="0.35">
      <c r="A1939" t="s">
        <v>2076</v>
      </c>
      <c r="B1939">
        <v>64528</v>
      </c>
      <c r="C1939">
        <v>53001</v>
      </c>
      <c r="D1939">
        <v>0</v>
      </c>
    </row>
    <row r="1940" spans="1:4" x14ac:dyDescent="0.35">
      <c r="A1940" t="s">
        <v>2077</v>
      </c>
      <c r="B1940">
        <v>12</v>
      </c>
      <c r="C1940">
        <v>11</v>
      </c>
      <c r="D1940">
        <v>111292</v>
      </c>
    </row>
    <row r="1941" spans="1:4" x14ac:dyDescent="0.35">
      <c r="A1941" t="s">
        <v>2078</v>
      </c>
      <c r="B1941">
        <v>90</v>
      </c>
      <c r="C1941">
        <v>85</v>
      </c>
      <c r="D1941">
        <v>0</v>
      </c>
    </row>
    <row r="1942" spans="1:4" x14ac:dyDescent="0.35">
      <c r="A1942" t="s">
        <v>2079</v>
      </c>
      <c r="B1942">
        <v>1146202</v>
      </c>
      <c r="C1942">
        <v>1098037</v>
      </c>
      <c r="D1942">
        <v>45</v>
      </c>
    </row>
    <row r="1943" spans="1:4" x14ac:dyDescent="0.35">
      <c r="A1943" t="s">
        <v>2080</v>
      </c>
      <c r="B1943">
        <v>319000</v>
      </c>
      <c r="C1943">
        <v>317317</v>
      </c>
      <c r="D1943">
        <v>1</v>
      </c>
    </row>
    <row r="1944" spans="1:4" x14ac:dyDescent="0.35">
      <c r="A1944" t="s">
        <v>2081</v>
      </c>
      <c r="B1944">
        <v>50584</v>
      </c>
      <c r="C1944">
        <v>50012</v>
      </c>
      <c r="D1944">
        <v>218</v>
      </c>
    </row>
    <row r="1945" spans="1:4" x14ac:dyDescent="0.35">
      <c r="A1945" t="s">
        <v>2082</v>
      </c>
      <c r="B1945">
        <v>1143</v>
      </c>
      <c r="C1945">
        <v>1200</v>
      </c>
      <c r="D1945">
        <v>990</v>
      </c>
    </row>
    <row r="1946" spans="1:4" x14ac:dyDescent="0.35">
      <c r="A1946" t="s">
        <v>2083</v>
      </c>
      <c r="B1946">
        <v>1608</v>
      </c>
      <c r="C1946">
        <v>1609</v>
      </c>
      <c r="D1946">
        <v>240</v>
      </c>
    </row>
    <row r="1947" spans="1:4" x14ac:dyDescent="0.35">
      <c r="A1947" t="s">
        <v>2084</v>
      </c>
      <c r="B1947">
        <v>1291</v>
      </c>
      <c r="C1947">
        <v>1130</v>
      </c>
      <c r="D1947">
        <v>1</v>
      </c>
    </row>
    <row r="1948" spans="1:4" x14ac:dyDescent="0.35">
      <c r="A1948" t="s">
        <v>2085</v>
      </c>
      <c r="B1948">
        <v>61</v>
      </c>
      <c r="C1948">
        <v>62</v>
      </c>
      <c r="D1948">
        <v>168</v>
      </c>
    </row>
    <row r="1949" spans="1:4" x14ac:dyDescent="0.35">
      <c r="A1949" t="s">
        <v>2086</v>
      </c>
      <c r="B1949">
        <v>56564</v>
      </c>
      <c r="C1949">
        <v>55866</v>
      </c>
      <c r="D1949">
        <v>2</v>
      </c>
    </row>
    <row r="1950" spans="1:4" x14ac:dyDescent="0.35">
      <c r="A1950" t="s">
        <v>2087</v>
      </c>
      <c r="B1950">
        <v>1221557</v>
      </c>
      <c r="C1950">
        <v>1202172</v>
      </c>
      <c r="D1950">
        <v>0</v>
      </c>
    </row>
    <row r="1951" spans="1:4" x14ac:dyDescent="0.35">
      <c r="A1951" t="s">
        <v>2088</v>
      </c>
      <c r="B1951">
        <v>8694</v>
      </c>
      <c r="C1951">
        <v>8694</v>
      </c>
      <c r="D1951">
        <v>21</v>
      </c>
    </row>
    <row r="1952" spans="1:4" x14ac:dyDescent="0.35">
      <c r="A1952" t="s">
        <v>2089</v>
      </c>
      <c r="B1952">
        <v>14449</v>
      </c>
      <c r="C1952">
        <v>14449</v>
      </c>
      <c r="D1952">
        <v>1</v>
      </c>
    </row>
    <row r="1953" spans="1:4" x14ac:dyDescent="0.35">
      <c r="A1953" t="s">
        <v>2090</v>
      </c>
      <c r="B1953">
        <v>1046451</v>
      </c>
      <c r="C1953">
        <v>792000</v>
      </c>
      <c r="D1953">
        <v>2</v>
      </c>
    </row>
    <row r="1954" spans="1:4" x14ac:dyDescent="0.35">
      <c r="A1954" t="s">
        <v>2091</v>
      </c>
      <c r="B1954">
        <v>7</v>
      </c>
      <c r="C1954">
        <v>5</v>
      </c>
      <c r="D1954">
        <v>0</v>
      </c>
    </row>
    <row r="1955" spans="1:4" x14ac:dyDescent="0.35">
      <c r="A1955" t="s">
        <v>2092</v>
      </c>
      <c r="B1955">
        <v>798000</v>
      </c>
      <c r="C1955">
        <v>777920</v>
      </c>
      <c r="D1955">
        <v>5</v>
      </c>
    </row>
    <row r="1956" spans="1:4" x14ac:dyDescent="0.35">
      <c r="A1956" t="s">
        <v>2093</v>
      </c>
      <c r="B1956">
        <v>507</v>
      </c>
      <c r="C1956">
        <v>507</v>
      </c>
      <c r="D1956">
        <v>19</v>
      </c>
    </row>
    <row r="1957" spans="1:4" x14ac:dyDescent="0.35">
      <c r="A1957" t="s">
        <v>2094</v>
      </c>
      <c r="B1957">
        <v>900000</v>
      </c>
      <c r="C1957">
        <v>834069</v>
      </c>
      <c r="D1957">
        <v>2</v>
      </c>
    </row>
    <row r="1958" spans="1:4" x14ac:dyDescent="0.35">
      <c r="A1958" t="s">
        <v>2095</v>
      </c>
      <c r="B1958">
        <v>3341</v>
      </c>
      <c r="C1958">
        <v>3025</v>
      </c>
      <c r="D1958">
        <v>43</v>
      </c>
    </row>
    <row r="1959" spans="1:4" x14ac:dyDescent="0.35">
      <c r="A1959" t="s">
        <v>2096</v>
      </c>
      <c r="B1959">
        <v>16000</v>
      </c>
      <c r="C1959">
        <v>10830</v>
      </c>
      <c r="D1959">
        <v>0</v>
      </c>
    </row>
    <row r="1960" spans="1:4" x14ac:dyDescent="0.35">
      <c r="A1960" t="s">
        <v>2097</v>
      </c>
      <c r="B1960">
        <v>2891686</v>
      </c>
      <c r="C1960">
        <v>2501003</v>
      </c>
      <c r="D1960">
        <v>4</v>
      </c>
    </row>
    <row r="1961" spans="1:4" x14ac:dyDescent="0.35">
      <c r="A1961" t="s">
        <v>2098</v>
      </c>
      <c r="B1961">
        <v>10000</v>
      </c>
      <c r="C1961">
        <v>1001</v>
      </c>
      <c r="D1961">
        <v>0</v>
      </c>
    </row>
    <row r="1962" spans="1:4" x14ac:dyDescent="0.35">
      <c r="A1962" t="s">
        <v>2099</v>
      </c>
      <c r="B1962">
        <v>2465</v>
      </c>
      <c r="C1962">
        <v>3213</v>
      </c>
      <c r="D1962">
        <v>2</v>
      </c>
    </row>
    <row r="1963" spans="1:4" x14ac:dyDescent="0.35">
      <c r="A1963" t="s">
        <v>2100</v>
      </c>
      <c r="B1963">
        <v>5716</v>
      </c>
      <c r="C1963">
        <v>5700</v>
      </c>
      <c r="D1963">
        <v>1</v>
      </c>
    </row>
    <row r="1964" spans="1:4" x14ac:dyDescent="0.35">
      <c r="A1964" t="s">
        <v>2101</v>
      </c>
      <c r="B1964">
        <v>6880</v>
      </c>
      <c r="C1964">
        <v>6881</v>
      </c>
      <c r="D1964">
        <v>28</v>
      </c>
    </row>
    <row r="1965" spans="1:4" x14ac:dyDescent="0.35">
      <c r="A1965" t="s">
        <v>62</v>
      </c>
      <c r="B1965">
        <v>7440</v>
      </c>
      <c r="C1965">
        <v>7371</v>
      </c>
      <c r="D1965">
        <v>0</v>
      </c>
    </row>
    <row r="1966" spans="1:4" x14ac:dyDescent="0.35">
      <c r="A1966" t="s">
        <v>2102</v>
      </c>
      <c r="B1966">
        <v>39101</v>
      </c>
      <c r="C1966">
        <v>40000</v>
      </c>
      <c r="D1966">
        <v>211</v>
      </c>
    </row>
    <row r="1967" spans="1:4" x14ac:dyDescent="0.35">
      <c r="A1967" t="s">
        <v>2103</v>
      </c>
      <c r="B1967">
        <v>635000</v>
      </c>
      <c r="C1967">
        <v>635000</v>
      </c>
      <c r="D1967">
        <v>14</v>
      </c>
    </row>
    <row r="1968" spans="1:4" x14ac:dyDescent="0.35">
      <c r="A1968" t="s">
        <v>2104</v>
      </c>
      <c r="B1968">
        <v>5271822</v>
      </c>
      <c r="C1968">
        <v>5020098</v>
      </c>
      <c r="D1968">
        <v>2</v>
      </c>
    </row>
    <row r="1969" spans="1:4" x14ac:dyDescent="0.35">
      <c r="A1969" t="s">
        <v>2105</v>
      </c>
      <c r="B1969">
        <v>1935460</v>
      </c>
      <c r="C1969">
        <v>1872514</v>
      </c>
      <c r="D1969">
        <v>10</v>
      </c>
    </row>
    <row r="1970" spans="1:4" x14ac:dyDescent="0.35">
      <c r="A1970" t="s">
        <v>2106</v>
      </c>
      <c r="B1970">
        <v>1310000</v>
      </c>
      <c r="C1970">
        <v>1248273</v>
      </c>
      <c r="D1970">
        <v>23</v>
      </c>
    </row>
    <row r="1971" spans="1:4" x14ac:dyDescent="0.35">
      <c r="A1971" t="s">
        <v>2107</v>
      </c>
      <c r="B1971">
        <v>1354375</v>
      </c>
      <c r="C1971">
        <v>1289881</v>
      </c>
      <c r="D1971">
        <v>16</v>
      </c>
    </row>
    <row r="1972" spans="1:4" x14ac:dyDescent="0.35">
      <c r="A1972" t="s">
        <v>2108</v>
      </c>
      <c r="B1972">
        <v>627755</v>
      </c>
      <c r="C1972">
        <v>627755</v>
      </c>
      <c r="D1972">
        <v>13</v>
      </c>
    </row>
    <row r="1973" spans="1:4" x14ac:dyDescent="0.35">
      <c r="A1973" t="s">
        <v>2109</v>
      </c>
      <c r="B1973">
        <v>478</v>
      </c>
      <c r="C1973">
        <v>184</v>
      </c>
      <c r="D1973">
        <v>0</v>
      </c>
    </row>
    <row r="1974" spans="1:4" x14ac:dyDescent="0.35">
      <c r="A1974" t="s">
        <v>2110</v>
      </c>
      <c r="B1974">
        <v>588</v>
      </c>
      <c r="C1974">
        <v>463</v>
      </c>
      <c r="D1974">
        <v>0</v>
      </c>
    </row>
    <row r="1975" spans="1:4" x14ac:dyDescent="0.35">
      <c r="A1975" t="s">
        <v>2111</v>
      </c>
      <c r="B1975">
        <v>601</v>
      </c>
      <c r="C1975">
        <v>575</v>
      </c>
      <c r="D1975">
        <v>0</v>
      </c>
    </row>
    <row r="1976" spans="1:4" x14ac:dyDescent="0.35">
      <c r="A1976" t="s">
        <v>2112</v>
      </c>
      <c r="B1976">
        <v>999</v>
      </c>
      <c r="C1976">
        <v>772</v>
      </c>
      <c r="D1976">
        <v>95</v>
      </c>
    </row>
    <row r="1977" spans="1:4" x14ac:dyDescent="0.35">
      <c r="A1977" t="s">
        <v>2113</v>
      </c>
      <c r="B1977">
        <v>2</v>
      </c>
      <c r="C1977">
        <v>2</v>
      </c>
      <c r="D1977">
        <v>2838</v>
      </c>
    </row>
    <row r="1978" spans="1:4" x14ac:dyDescent="0.35">
      <c r="A1978" t="s">
        <v>2114</v>
      </c>
      <c r="B1978">
        <v>192</v>
      </c>
      <c r="C1978">
        <v>60</v>
      </c>
      <c r="D1978">
        <v>30</v>
      </c>
    </row>
    <row r="1979" spans="1:4" x14ac:dyDescent="0.35">
      <c r="A1979" t="s">
        <v>2115</v>
      </c>
      <c r="B1979">
        <v>9000</v>
      </c>
      <c r="C1979">
        <v>3326</v>
      </c>
      <c r="D1979">
        <v>0</v>
      </c>
    </row>
    <row r="1980" spans="1:4" x14ac:dyDescent="0.35">
      <c r="A1980" t="s">
        <v>2116</v>
      </c>
      <c r="B1980">
        <v>7028</v>
      </c>
      <c r="C1980">
        <v>6330</v>
      </c>
      <c r="D1980">
        <v>51</v>
      </c>
    </row>
    <row r="1981" spans="1:4" x14ac:dyDescent="0.35">
      <c r="A1981" t="s">
        <v>2117</v>
      </c>
      <c r="B1981">
        <v>127</v>
      </c>
      <c r="C1981">
        <v>99000</v>
      </c>
      <c r="D1981">
        <v>0</v>
      </c>
    </row>
    <row r="1982" spans="1:4" x14ac:dyDescent="0.35">
      <c r="A1982" t="s">
        <v>2118</v>
      </c>
      <c r="B1982">
        <v>949</v>
      </c>
      <c r="C1982">
        <v>625</v>
      </c>
      <c r="D1982">
        <v>0</v>
      </c>
    </row>
    <row r="1983" spans="1:4" x14ac:dyDescent="0.35">
      <c r="A1983" t="s">
        <v>2119</v>
      </c>
      <c r="B1983">
        <v>8667</v>
      </c>
      <c r="C1983">
        <v>8695</v>
      </c>
      <c r="D1983">
        <v>2311</v>
      </c>
    </row>
    <row r="1984" spans="1:4" x14ac:dyDescent="0.35">
      <c r="A1984" t="s">
        <v>2120</v>
      </c>
      <c r="B1984">
        <v>13904988</v>
      </c>
      <c r="C1984">
        <v>13477564</v>
      </c>
      <c r="D1984">
        <v>22</v>
      </c>
    </row>
    <row r="1985" spans="1:4" x14ac:dyDescent="0.35">
      <c r="A1985" t="s">
        <v>2121</v>
      </c>
      <c r="B1985">
        <v>112076</v>
      </c>
      <c r="C1985">
        <v>95556</v>
      </c>
      <c r="D1985">
        <v>10</v>
      </c>
    </row>
    <row r="1986" spans="1:4" x14ac:dyDescent="0.35">
      <c r="A1986" t="s">
        <v>2122</v>
      </c>
      <c r="B1986">
        <v>69300000</v>
      </c>
      <c r="C1986">
        <v>68710669</v>
      </c>
      <c r="D1986">
        <v>3</v>
      </c>
    </row>
    <row r="1987" spans="1:4" x14ac:dyDescent="0.35">
      <c r="A1987" t="s">
        <v>2123</v>
      </c>
      <c r="B1987">
        <v>3128464</v>
      </c>
      <c r="C1987">
        <v>3050001</v>
      </c>
      <c r="D1987">
        <v>4</v>
      </c>
    </row>
    <row r="1988" spans="1:4" x14ac:dyDescent="0.35">
      <c r="A1988" t="s">
        <v>2124</v>
      </c>
      <c r="B1988">
        <v>1149</v>
      </c>
      <c r="C1988">
        <v>1049</v>
      </c>
      <c r="D1988">
        <v>74</v>
      </c>
    </row>
    <row r="1989" spans="1:4" x14ac:dyDescent="0.35">
      <c r="A1989" t="s">
        <v>2125</v>
      </c>
      <c r="B1989">
        <v>1500</v>
      </c>
      <c r="C1989">
        <v>1459</v>
      </c>
      <c r="D1989">
        <v>1138</v>
      </c>
    </row>
    <row r="1990" spans="1:4" x14ac:dyDescent="0.35">
      <c r="A1990" t="s">
        <v>2126</v>
      </c>
      <c r="B1990">
        <v>113422549</v>
      </c>
      <c r="C1990">
        <v>110600000</v>
      </c>
      <c r="D1990">
        <v>10</v>
      </c>
    </row>
    <row r="1991" spans="1:4" x14ac:dyDescent="0.35">
      <c r="A1991" t="s">
        <v>2127</v>
      </c>
      <c r="B1991">
        <v>2498</v>
      </c>
      <c r="C1991">
        <v>300</v>
      </c>
      <c r="D1991">
        <v>36</v>
      </c>
    </row>
    <row r="1992" spans="1:4" x14ac:dyDescent="0.35">
      <c r="A1992" t="s">
        <v>2128</v>
      </c>
      <c r="B1992">
        <v>10420</v>
      </c>
      <c r="C1992">
        <v>8519</v>
      </c>
      <c r="D1992">
        <v>4</v>
      </c>
    </row>
    <row r="1993" spans="1:4" x14ac:dyDescent="0.35">
      <c r="A1993" t="s">
        <v>2129</v>
      </c>
      <c r="B1993">
        <v>6</v>
      </c>
      <c r="C1993">
        <v>512</v>
      </c>
      <c r="D1993">
        <v>0</v>
      </c>
    </row>
    <row r="1994" spans="1:4" x14ac:dyDescent="0.35">
      <c r="A1994" t="s">
        <v>2130</v>
      </c>
      <c r="B1994">
        <v>619</v>
      </c>
      <c r="C1994">
        <v>610</v>
      </c>
      <c r="D1994">
        <v>4456</v>
      </c>
    </row>
    <row r="1995" spans="1:4" x14ac:dyDescent="0.35">
      <c r="A1995" t="s">
        <v>2131</v>
      </c>
      <c r="B1995">
        <v>161218</v>
      </c>
      <c r="C1995">
        <v>1111</v>
      </c>
      <c r="D1995">
        <v>0</v>
      </c>
    </row>
    <row r="1996" spans="1:4" x14ac:dyDescent="0.35">
      <c r="A1996" t="s">
        <v>2132</v>
      </c>
      <c r="B1996">
        <v>59546</v>
      </c>
      <c r="C1996">
        <v>59546</v>
      </c>
      <c r="D1996">
        <v>0</v>
      </c>
    </row>
    <row r="1997" spans="1:4" x14ac:dyDescent="0.35">
      <c r="A1997" t="s">
        <v>2133</v>
      </c>
      <c r="B1997">
        <v>3349</v>
      </c>
      <c r="C1997">
        <v>3349</v>
      </c>
      <c r="D1997">
        <v>1390</v>
      </c>
    </row>
    <row r="1998" spans="1:4" x14ac:dyDescent="0.35">
      <c r="A1998" t="s">
        <v>2134</v>
      </c>
      <c r="B1998">
        <v>9600000</v>
      </c>
      <c r="C1998">
        <v>10800000</v>
      </c>
      <c r="D1998">
        <v>0</v>
      </c>
    </row>
    <row r="1999" spans="1:4" x14ac:dyDescent="0.35">
      <c r="A1999" t="s">
        <v>2135</v>
      </c>
      <c r="B1999">
        <v>437636</v>
      </c>
      <c r="C1999">
        <v>427555</v>
      </c>
      <c r="D1999">
        <v>12</v>
      </c>
    </row>
    <row r="2000" spans="1:4" x14ac:dyDescent="0.35">
      <c r="A2000" t="s">
        <v>2136</v>
      </c>
      <c r="B2000">
        <v>2500000</v>
      </c>
      <c r="C2000">
        <v>2586922</v>
      </c>
      <c r="D2000">
        <v>2</v>
      </c>
    </row>
    <row r="2001" spans="1:4" x14ac:dyDescent="0.35">
      <c r="A2001" t="s">
        <v>2137</v>
      </c>
      <c r="B2001">
        <v>869928</v>
      </c>
      <c r="C2001">
        <v>828005</v>
      </c>
      <c r="D2001">
        <v>2</v>
      </c>
    </row>
    <row r="2002" spans="1:4" x14ac:dyDescent="0.35">
      <c r="A2002" t="s">
        <v>2138</v>
      </c>
      <c r="B2002">
        <v>1472418</v>
      </c>
      <c r="C2002">
        <v>1419015</v>
      </c>
      <c r="D2002">
        <v>1</v>
      </c>
    </row>
    <row r="2003" spans="1:4" x14ac:dyDescent="0.35">
      <c r="A2003" t="s">
        <v>2139</v>
      </c>
      <c r="B2003">
        <v>1599997</v>
      </c>
      <c r="C2003">
        <v>1564740</v>
      </c>
      <c r="D2003">
        <v>3</v>
      </c>
    </row>
    <row r="2004" spans="1:4" x14ac:dyDescent="0.35">
      <c r="A2004" t="s">
        <v>2140</v>
      </c>
      <c r="B2004">
        <v>8138</v>
      </c>
      <c r="C2004">
        <v>5457</v>
      </c>
      <c r="D2004">
        <v>11</v>
      </c>
    </row>
    <row r="2005" spans="1:4" x14ac:dyDescent="0.35">
      <c r="A2005" t="s">
        <v>2141</v>
      </c>
      <c r="B2005">
        <v>21660</v>
      </c>
      <c r="C2005">
        <v>24202</v>
      </c>
      <c r="D2005">
        <v>0</v>
      </c>
    </row>
    <row r="2006" spans="1:4" x14ac:dyDescent="0.35">
      <c r="A2006" t="s">
        <v>2142</v>
      </c>
      <c r="B2006">
        <v>6369</v>
      </c>
      <c r="C2006">
        <v>5636</v>
      </c>
      <c r="D2006">
        <v>15</v>
      </c>
    </row>
    <row r="2007" spans="1:4" x14ac:dyDescent="0.35">
      <c r="A2007" t="s">
        <v>2143</v>
      </c>
      <c r="B2007">
        <v>3195</v>
      </c>
      <c r="C2007">
        <v>2940</v>
      </c>
      <c r="D2007">
        <v>13</v>
      </c>
    </row>
    <row r="2008" spans="1:4" x14ac:dyDescent="0.35">
      <c r="A2008" t="s">
        <v>2144</v>
      </c>
      <c r="B2008">
        <v>3800000</v>
      </c>
      <c r="C2008">
        <v>4027737</v>
      </c>
      <c r="D2008">
        <v>0</v>
      </c>
    </row>
    <row r="2009" spans="1:4" x14ac:dyDescent="0.35">
      <c r="A2009" t="s">
        <v>2145</v>
      </c>
      <c r="B2009">
        <v>1118</v>
      </c>
      <c r="C2009">
        <v>966</v>
      </c>
      <c r="D2009">
        <v>1</v>
      </c>
    </row>
    <row r="2010" spans="1:4" x14ac:dyDescent="0.35">
      <c r="A2010" t="s">
        <v>2146</v>
      </c>
      <c r="B2010">
        <v>200000000</v>
      </c>
      <c r="C2010">
        <v>203195148</v>
      </c>
      <c r="D2010">
        <v>1</v>
      </c>
    </row>
    <row r="2011" spans="1:4" x14ac:dyDescent="0.35">
      <c r="A2011" t="s">
        <v>2147</v>
      </c>
      <c r="B2011">
        <v>38229869</v>
      </c>
      <c r="C2011">
        <v>37199108</v>
      </c>
      <c r="D2011">
        <v>9</v>
      </c>
    </row>
    <row r="2012" spans="1:4" x14ac:dyDescent="0.35">
      <c r="A2012" t="s">
        <v>2148</v>
      </c>
      <c r="B2012">
        <v>84112622</v>
      </c>
      <c r="C2012">
        <v>82000000</v>
      </c>
      <c r="D2012">
        <v>14</v>
      </c>
    </row>
    <row r="2013" spans="1:4" x14ac:dyDescent="0.35">
      <c r="A2013" t="s">
        <v>2149</v>
      </c>
      <c r="B2013">
        <v>260000000</v>
      </c>
      <c r="C2013">
        <v>253039393</v>
      </c>
      <c r="D2013">
        <v>10</v>
      </c>
    </row>
    <row r="2014" spans="1:4" x14ac:dyDescent="0.35">
      <c r="A2014" t="s">
        <v>2150</v>
      </c>
      <c r="B2014">
        <v>80532263</v>
      </c>
      <c r="C2014">
        <v>78600000</v>
      </c>
      <c r="D2014">
        <v>9</v>
      </c>
    </row>
    <row r="2015" spans="1:4" x14ac:dyDescent="0.35">
      <c r="A2015" t="s">
        <v>2151</v>
      </c>
      <c r="B2015">
        <v>450</v>
      </c>
      <c r="C2015">
        <v>425</v>
      </c>
      <c r="D2015">
        <v>1</v>
      </c>
    </row>
    <row r="2016" spans="1:4" x14ac:dyDescent="0.35">
      <c r="A2016" t="s">
        <v>2152</v>
      </c>
      <c r="B2016">
        <v>619</v>
      </c>
      <c r="C2016">
        <v>599</v>
      </c>
      <c r="D2016">
        <v>4</v>
      </c>
    </row>
    <row r="2017" spans="1:4" x14ac:dyDescent="0.35">
      <c r="A2017" t="s">
        <v>2153</v>
      </c>
      <c r="B2017">
        <v>2390</v>
      </c>
      <c r="C2017">
        <v>2222</v>
      </c>
      <c r="D2017">
        <v>285</v>
      </c>
    </row>
    <row r="2018" spans="1:4" x14ac:dyDescent="0.35">
      <c r="A2018" t="s">
        <v>132</v>
      </c>
      <c r="B2018">
        <v>2450</v>
      </c>
      <c r="C2018">
        <v>2450</v>
      </c>
      <c r="D2018">
        <v>7649</v>
      </c>
    </row>
    <row r="2019" spans="1:4" x14ac:dyDescent="0.35">
      <c r="A2019" t="s">
        <v>102</v>
      </c>
      <c r="B2019">
        <v>2797</v>
      </c>
      <c r="C2019">
        <v>2717</v>
      </c>
      <c r="D2019">
        <v>8438</v>
      </c>
    </row>
    <row r="2020" spans="1:4" x14ac:dyDescent="0.35">
      <c r="A2020" t="s">
        <v>2154</v>
      </c>
      <c r="B2020">
        <v>107</v>
      </c>
      <c r="C2020">
        <v>140</v>
      </c>
      <c r="D2020">
        <v>324</v>
      </c>
    </row>
    <row r="2021" spans="1:4" x14ac:dyDescent="0.35">
      <c r="A2021" t="s">
        <v>2155</v>
      </c>
      <c r="B2021">
        <v>20</v>
      </c>
      <c r="C2021">
        <v>15</v>
      </c>
      <c r="D2021">
        <v>25134</v>
      </c>
    </row>
    <row r="2022" spans="1:4" x14ac:dyDescent="0.35">
      <c r="A2022" t="s">
        <v>2156</v>
      </c>
      <c r="B2022">
        <v>222</v>
      </c>
      <c r="C2022">
        <v>150</v>
      </c>
      <c r="D2022">
        <v>2</v>
      </c>
    </row>
    <row r="2023" spans="1:4" x14ac:dyDescent="0.35">
      <c r="A2023" t="s">
        <v>2157</v>
      </c>
      <c r="B2023">
        <v>9</v>
      </c>
      <c r="C2023">
        <v>8</v>
      </c>
      <c r="D2023">
        <v>77008</v>
      </c>
    </row>
    <row r="2024" spans="1:4" x14ac:dyDescent="0.35">
      <c r="A2024" t="s">
        <v>2158</v>
      </c>
      <c r="B2024">
        <v>54</v>
      </c>
      <c r="C2024">
        <v>54</v>
      </c>
      <c r="D2024">
        <v>0</v>
      </c>
    </row>
    <row r="2025" spans="1:4" x14ac:dyDescent="0.35">
      <c r="A2025" t="s">
        <v>2159</v>
      </c>
      <c r="B2025">
        <v>18</v>
      </c>
      <c r="C2025">
        <v>34</v>
      </c>
      <c r="D2025">
        <v>0</v>
      </c>
    </row>
    <row r="2026" spans="1:4" x14ac:dyDescent="0.35">
      <c r="A2026" t="s">
        <v>2160</v>
      </c>
      <c r="B2026">
        <v>2000</v>
      </c>
      <c r="C2026">
        <v>180</v>
      </c>
      <c r="D2026">
        <v>0</v>
      </c>
    </row>
    <row r="2027" spans="1:4" x14ac:dyDescent="0.35">
      <c r="A2027" t="s">
        <v>2161</v>
      </c>
      <c r="B2027">
        <v>5</v>
      </c>
      <c r="C2027">
        <v>5</v>
      </c>
      <c r="D2027">
        <v>30529</v>
      </c>
    </row>
    <row r="2028" spans="1:4" x14ac:dyDescent="0.35">
      <c r="A2028" t="s">
        <v>2162</v>
      </c>
      <c r="B2028">
        <v>102</v>
      </c>
      <c r="C2028">
        <v>101</v>
      </c>
      <c r="D2028">
        <v>23</v>
      </c>
    </row>
    <row r="2029" spans="1:4" x14ac:dyDescent="0.35">
      <c r="A2029" t="s">
        <v>2163</v>
      </c>
      <c r="B2029">
        <v>180</v>
      </c>
      <c r="C2029">
        <v>174</v>
      </c>
      <c r="D2029">
        <v>19006</v>
      </c>
    </row>
    <row r="2030" spans="1:4" x14ac:dyDescent="0.35">
      <c r="A2030" t="s">
        <v>2164</v>
      </c>
      <c r="B2030">
        <v>34</v>
      </c>
      <c r="C2030">
        <v>30</v>
      </c>
      <c r="D2030">
        <v>0</v>
      </c>
    </row>
    <row r="2031" spans="1:4" x14ac:dyDescent="0.35">
      <c r="A2031" t="s">
        <v>2165</v>
      </c>
      <c r="B2031">
        <v>15</v>
      </c>
      <c r="C2031">
        <v>15</v>
      </c>
      <c r="D2031">
        <v>126</v>
      </c>
    </row>
    <row r="2032" spans="1:4" x14ac:dyDescent="0.35">
      <c r="A2032" t="s">
        <v>2166</v>
      </c>
      <c r="B2032">
        <v>210</v>
      </c>
      <c r="C2032">
        <v>248</v>
      </c>
      <c r="D2032">
        <v>0</v>
      </c>
    </row>
    <row r="2033" spans="1:4" x14ac:dyDescent="0.35">
      <c r="A2033" t="s">
        <v>2167</v>
      </c>
      <c r="B2033">
        <v>349</v>
      </c>
      <c r="C2033">
        <v>513</v>
      </c>
      <c r="D2033">
        <v>0</v>
      </c>
    </row>
    <row r="2034" spans="1:4" x14ac:dyDescent="0.35">
      <c r="A2034" t="s">
        <v>2168</v>
      </c>
      <c r="B2034">
        <v>20</v>
      </c>
      <c r="C2034">
        <v>1004</v>
      </c>
      <c r="D2034">
        <v>0</v>
      </c>
    </row>
    <row r="2035" spans="1:4" x14ac:dyDescent="0.35">
      <c r="A2035" t="s">
        <v>2169</v>
      </c>
      <c r="B2035">
        <v>10</v>
      </c>
      <c r="C2035">
        <v>15</v>
      </c>
      <c r="D2035">
        <v>0</v>
      </c>
    </row>
    <row r="2036" spans="1:4" x14ac:dyDescent="0.35">
      <c r="A2036" t="s">
        <v>2170</v>
      </c>
      <c r="B2036">
        <v>5234</v>
      </c>
      <c r="C2036">
        <v>5234</v>
      </c>
      <c r="D2036">
        <v>12</v>
      </c>
    </row>
    <row r="2037" spans="1:4" x14ac:dyDescent="0.35">
      <c r="A2037" t="s">
        <v>2171</v>
      </c>
      <c r="B2037">
        <v>148</v>
      </c>
      <c r="C2037">
        <v>394</v>
      </c>
      <c r="D2037">
        <v>35</v>
      </c>
    </row>
    <row r="2038" spans="1:4" x14ac:dyDescent="0.35">
      <c r="A2038" t="s">
        <v>2172</v>
      </c>
      <c r="B2038">
        <v>15</v>
      </c>
      <c r="C2038">
        <v>16</v>
      </c>
      <c r="D2038">
        <v>42723</v>
      </c>
    </row>
    <row r="2039" spans="1:4" x14ac:dyDescent="0.35">
      <c r="A2039" t="s">
        <v>2173</v>
      </c>
      <c r="B2039">
        <v>100</v>
      </c>
      <c r="C2039">
        <v>82</v>
      </c>
      <c r="D2039">
        <v>51</v>
      </c>
    </row>
    <row r="2040" spans="1:4" x14ac:dyDescent="0.35">
      <c r="A2040" t="s">
        <v>2174</v>
      </c>
      <c r="B2040">
        <v>135</v>
      </c>
      <c r="C2040">
        <v>20000</v>
      </c>
      <c r="D2040">
        <v>0</v>
      </c>
    </row>
    <row r="2041" spans="1:4" x14ac:dyDescent="0.35">
      <c r="A2041" t="s">
        <v>2175</v>
      </c>
      <c r="B2041">
        <v>495</v>
      </c>
      <c r="C2041">
        <v>388</v>
      </c>
      <c r="D2041">
        <v>0</v>
      </c>
    </row>
    <row r="2042" spans="1:4" x14ac:dyDescent="0.35">
      <c r="A2042" t="s">
        <v>2176</v>
      </c>
      <c r="B2042">
        <v>59</v>
      </c>
      <c r="C2042">
        <v>77</v>
      </c>
      <c r="D2042">
        <v>0</v>
      </c>
    </row>
    <row r="2043" spans="1:4" x14ac:dyDescent="0.35">
      <c r="A2043" t="s">
        <v>2177</v>
      </c>
      <c r="B2043">
        <v>46</v>
      </c>
      <c r="C2043">
        <v>20</v>
      </c>
      <c r="D2043">
        <v>164</v>
      </c>
    </row>
    <row r="2044" spans="1:4" x14ac:dyDescent="0.35">
      <c r="A2044" t="s">
        <v>2178</v>
      </c>
      <c r="B2044">
        <v>86</v>
      </c>
      <c r="C2044">
        <v>486</v>
      </c>
      <c r="D2044">
        <v>0</v>
      </c>
    </row>
    <row r="2045" spans="1:4" x14ac:dyDescent="0.35">
      <c r="A2045" t="s">
        <v>2179</v>
      </c>
      <c r="B2045">
        <v>611</v>
      </c>
      <c r="C2045">
        <v>7481</v>
      </c>
      <c r="D2045">
        <v>0</v>
      </c>
    </row>
    <row r="2046" spans="1:4" x14ac:dyDescent="0.35">
      <c r="A2046" t="s">
        <v>2180</v>
      </c>
      <c r="B2046">
        <v>1</v>
      </c>
      <c r="C2046">
        <v>1</v>
      </c>
      <c r="D2046">
        <v>0</v>
      </c>
    </row>
    <row r="2047" spans="1:4" x14ac:dyDescent="0.35">
      <c r="A2047" t="s">
        <v>2181</v>
      </c>
      <c r="B2047">
        <v>10</v>
      </c>
      <c r="C2047">
        <v>10</v>
      </c>
      <c r="D2047">
        <v>26555</v>
      </c>
    </row>
    <row r="2048" spans="1:4" x14ac:dyDescent="0.35">
      <c r="A2048" t="s">
        <v>2182</v>
      </c>
      <c r="B2048">
        <v>55</v>
      </c>
      <c r="C2048">
        <v>55</v>
      </c>
      <c r="D2048">
        <v>0</v>
      </c>
    </row>
    <row r="2049" spans="1:4" x14ac:dyDescent="0.35">
      <c r="A2049" t="s">
        <v>2183</v>
      </c>
      <c r="B2049">
        <v>42</v>
      </c>
      <c r="C2049">
        <v>44</v>
      </c>
      <c r="D2049">
        <v>26351</v>
      </c>
    </row>
    <row r="2050" spans="1:4" x14ac:dyDescent="0.35">
      <c r="A2050" t="s">
        <v>2184</v>
      </c>
      <c r="B2050">
        <v>29</v>
      </c>
      <c r="C2050">
        <v>40</v>
      </c>
      <c r="D2050">
        <v>0</v>
      </c>
    </row>
    <row r="2051" spans="1:4" x14ac:dyDescent="0.35">
      <c r="A2051" t="s">
        <v>2185</v>
      </c>
      <c r="B2051">
        <v>120</v>
      </c>
      <c r="C2051">
        <v>209</v>
      </c>
      <c r="D2051">
        <v>0</v>
      </c>
    </row>
    <row r="2052" spans="1:4" x14ac:dyDescent="0.35">
      <c r="A2052" t="s">
        <v>2186</v>
      </c>
      <c r="B2052">
        <v>5240</v>
      </c>
      <c r="C2052">
        <v>5550</v>
      </c>
      <c r="D2052">
        <v>0</v>
      </c>
    </row>
    <row r="2053" spans="1:4" x14ac:dyDescent="0.35">
      <c r="A2053" t="s">
        <v>2187</v>
      </c>
      <c r="B2053">
        <v>1199995</v>
      </c>
      <c r="C2053">
        <v>1005555</v>
      </c>
      <c r="D2053">
        <v>0</v>
      </c>
    </row>
    <row r="2054" spans="1:4" x14ac:dyDescent="0.35">
      <c r="A2054" t="s">
        <v>2188</v>
      </c>
      <c r="B2054">
        <v>64</v>
      </c>
      <c r="C2054">
        <v>97</v>
      </c>
      <c r="D2054">
        <v>15</v>
      </c>
    </row>
    <row r="2055" spans="1:4" x14ac:dyDescent="0.35">
      <c r="A2055" t="s">
        <v>2189</v>
      </c>
      <c r="B2055">
        <v>164155</v>
      </c>
      <c r="C2055">
        <v>141973</v>
      </c>
      <c r="D2055">
        <v>0</v>
      </c>
    </row>
    <row r="2056" spans="1:4" x14ac:dyDescent="0.35">
      <c r="A2056" t="s">
        <v>2190</v>
      </c>
      <c r="B2056">
        <v>20268</v>
      </c>
      <c r="C2056">
        <v>28516</v>
      </c>
      <c r="D2056">
        <v>1</v>
      </c>
    </row>
    <row r="2057" spans="1:4" x14ac:dyDescent="0.35">
      <c r="A2057" t="s">
        <v>2191</v>
      </c>
      <c r="B2057">
        <v>499995</v>
      </c>
      <c r="C2057">
        <v>481257</v>
      </c>
      <c r="D2057">
        <v>4</v>
      </c>
    </row>
    <row r="2058" spans="1:4" x14ac:dyDescent="0.35">
      <c r="A2058" t="s">
        <v>2192</v>
      </c>
      <c r="B2058">
        <v>548354</v>
      </c>
      <c r="C2058">
        <v>577214</v>
      </c>
      <c r="D2058">
        <v>0</v>
      </c>
    </row>
    <row r="2059" spans="1:4" x14ac:dyDescent="0.35">
      <c r="A2059" t="s">
        <v>2193</v>
      </c>
      <c r="B2059">
        <v>250</v>
      </c>
      <c r="C2059">
        <v>10</v>
      </c>
      <c r="D2059">
        <v>0</v>
      </c>
    </row>
    <row r="2060" spans="1:4" x14ac:dyDescent="0.35">
      <c r="A2060" t="s">
        <v>2194</v>
      </c>
      <c r="B2060">
        <v>525</v>
      </c>
      <c r="C2060">
        <v>300</v>
      </c>
      <c r="D2060">
        <v>0</v>
      </c>
    </row>
    <row r="2061" spans="1:4" x14ac:dyDescent="0.35">
      <c r="A2061" t="s">
        <v>2195</v>
      </c>
      <c r="B2061">
        <v>2968</v>
      </c>
      <c r="C2061">
        <v>2968</v>
      </c>
      <c r="D2061">
        <v>0</v>
      </c>
    </row>
    <row r="2062" spans="1:4" x14ac:dyDescent="0.35">
      <c r="A2062" t="s">
        <v>2196</v>
      </c>
      <c r="B2062">
        <v>1</v>
      </c>
      <c r="C2062">
        <v>1</v>
      </c>
      <c r="D2062">
        <v>0</v>
      </c>
    </row>
    <row r="2063" spans="1:4" x14ac:dyDescent="0.35">
      <c r="A2063" t="s">
        <v>2197</v>
      </c>
      <c r="B2063">
        <v>2054</v>
      </c>
      <c r="C2063">
        <v>3423</v>
      </c>
      <c r="D2063">
        <v>0</v>
      </c>
    </row>
    <row r="2064" spans="1:4" x14ac:dyDescent="0.35">
      <c r="A2064" t="s">
        <v>2198</v>
      </c>
      <c r="B2064">
        <v>4</v>
      </c>
      <c r="C2064">
        <v>4</v>
      </c>
      <c r="D2064">
        <v>0</v>
      </c>
    </row>
    <row r="2065" spans="1:4" x14ac:dyDescent="0.35">
      <c r="A2065" t="s">
        <v>2199</v>
      </c>
      <c r="B2065">
        <v>36</v>
      </c>
      <c r="C2065">
        <v>42</v>
      </c>
      <c r="D2065">
        <v>0</v>
      </c>
    </row>
    <row r="2066" spans="1:4" x14ac:dyDescent="0.35">
      <c r="A2066" t="s">
        <v>2200</v>
      </c>
      <c r="B2066">
        <v>29</v>
      </c>
      <c r="C2066">
        <v>1</v>
      </c>
      <c r="D2066">
        <v>0</v>
      </c>
    </row>
    <row r="2067" spans="1:4" x14ac:dyDescent="0.35">
      <c r="A2067" t="s">
        <v>2201</v>
      </c>
      <c r="B2067">
        <v>1</v>
      </c>
      <c r="C2067">
        <v>200</v>
      </c>
      <c r="D2067">
        <v>0</v>
      </c>
    </row>
    <row r="2068" spans="1:4" x14ac:dyDescent="0.35">
      <c r="A2068" t="s">
        <v>2202</v>
      </c>
      <c r="B2068">
        <v>1</v>
      </c>
      <c r="C2068">
        <v>21</v>
      </c>
      <c r="D2068">
        <v>0</v>
      </c>
    </row>
    <row r="2069" spans="1:4" x14ac:dyDescent="0.35">
      <c r="A2069" t="s">
        <v>2203</v>
      </c>
      <c r="B2069">
        <v>1021</v>
      </c>
      <c r="C2069">
        <v>33</v>
      </c>
      <c r="D2069">
        <v>222</v>
      </c>
    </row>
    <row r="2070" spans="1:4" x14ac:dyDescent="0.35">
      <c r="A2070" t="s">
        <v>2204</v>
      </c>
      <c r="B2070">
        <v>49</v>
      </c>
      <c r="C2070">
        <v>48</v>
      </c>
      <c r="D2070">
        <v>23</v>
      </c>
    </row>
    <row r="2071" spans="1:4" x14ac:dyDescent="0.35">
      <c r="A2071" t="s">
        <v>2205</v>
      </c>
      <c r="B2071">
        <v>65858</v>
      </c>
      <c r="C2071">
        <v>62000</v>
      </c>
      <c r="D2071">
        <v>1</v>
      </c>
    </row>
    <row r="2072" spans="1:4" x14ac:dyDescent="0.35">
      <c r="A2072" t="s">
        <v>2206</v>
      </c>
      <c r="B2072">
        <v>9486</v>
      </c>
      <c r="C2072">
        <v>7500</v>
      </c>
      <c r="D2072">
        <v>1</v>
      </c>
    </row>
    <row r="2073" spans="1:4" x14ac:dyDescent="0.35">
      <c r="A2073" t="s">
        <v>2207</v>
      </c>
      <c r="B2073">
        <v>34</v>
      </c>
      <c r="C2073">
        <v>34</v>
      </c>
      <c r="D2073">
        <v>8132</v>
      </c>
    </row>
    <row r="2074" spans="1:4" x14ac:dyDescent="0.35">
      <c r="A2074" t="s">
        <v>2208</v>
      </c>
      <c r="B2074">
        <v>25000</v>
      </c>
      <c r="C2074">
        <v>359</v>
      </c>
      <c r="D2074">
        <v>0</v>
      </c>
    </row>
    <row r="2075" spans="1:4" x14ac:dyDescent="0.35">
      <c r="A2075" t="s">
        <v>2209</v>
      </c>
      <c r="B2075">
        <v>324</v>
      </c>
      <c r="C2075">
        <v>324</v>
      </c>
      <c r="D2075">
        <v>0</v>
      </c>
    </row>
    <row r="2076" spans="1:4" x14ac:dyDescent="0.35">
      <c r="A2076" t="s">
        <v>2210</v>
      </c>
      <c r="B2076">
        <v>1171</v>
      </c>
      <c r="C2076">
        <v>1171</v>
      </c>
      <c r="D2076">
        <v>0</v>
      </c>
    </row>
    <row r="2077" spans="1:4" x14ac:dyDescent="0.35">
      <c r="A2077" t="s">
        <v>2211</v>
      </c>
      <c r="B2077">
        <v>82</v>
      </c>
      <c r="C2077">
        <v>86</v>
      </c>
      <c r="D2077">
        <v>0</v>
      </c>
    </row>
    <row r="2078" spans="1:4" x14ac:dyDescent="0.35">
      <c r="A2078" t="s">
        <v>2212</v>
      </c>
      <c r="B2078">
        <v>21</v>
      </c>
      <c r="C2078">
        <v>9</v>
      </c>
      <c r="D2078">
        <v>7</v>
      </c>
    </row>
    <row r="2079" spans="1:4" x14ac:dyDescent="0.35">
      <c r="A2079" t="s">
        <v>2213</v>
      </c>
      <c r="B2079">
        <v>8</v>
      </c>
      <c r="C2079">
        <v>6</v>
      </c>
      <c r="D2079">
        <v>8</v>
      </c>
    </row>
    <row r="2080" spans="1:4" x14ac:dyDescent="0.35">
      <c r="A2080" t="s">
        <v>2214</v>
      </c>
      <c r="B2080">
        <v>70</v>
      </c>
      <c r="C2080">
        <v>60</v>
      </c>
      <c r="D2080">
        <v>29</v>
      </c>
    </row>
    <row r="2081" spans="1:4" x14ac:dyDescent="0.35">
      <c r="A2081" t="s">
        <v>2215</v>
      </c>
      <c r="B2081">
        <v>4</v>
      </c>
      <c r="C2081">
        <v>6</v>
      </c>
      <c r="D2081">
        <v>33658</v>
      </c>
    </row>
    <row r="2082" spans="1:4" x14ac:dyDescent="0.35">
      <c r="A2082" t="s">
        <v>2216</v>
      </c>
      <c r="B2082">
        <v>86</v>
      </c>
      <c r="C2082">
        <v>85</v>
      </c>
      <c r="D2082">
        <v>87004</v>
      </c>
    </row>
    <row r="2083" spans="1:4" x14ac:dyDescent="0.35">
      <c r="A2083" t="s">
        <v>2217</v>
      </c>
      <c r="B2083">
        <v>206</v>
      </c>
      <c r="C2083">
        <v>330</v>
      </c>
      <c r="D2083">
        <v>27</v>
      </c>
    </row>
    <row r="2084" spans="1:4" x14ac:dyDescent="0.35">
      <c r="A2084" t="s">
        <v>2218</v>
      </c>
      <c r="B2084">
        <v>190</v>
      </c>
      <c r="C2084">
        <v>150</v>
      </c>
      <c r="D2084">
        <v>4056</v>
      </c>
    </row>
    <row r="2085" spans="1:4" x14ac:dyDescent="0.35">
      <c r="A2085" t="s">
        <v>2219</v>
      </c>
      <c r="B2085">
        <v>206999</v>
      </c>
      <c r="C2085">
        <v>184606</v>
      </c>
      <c r="D2085">
        <v>3</v>
      </c>
    </row>
    <row r="2086" spans="1:4" x14ac:dyDescent="0.35">
      <c r="A2086" t="s">
        <v>2220</v>
      </c>
      <c r="B2086">
        <v>30822</v>
      </c>
      <c r="C2086">
        <v>32363</v>
      </c>
      <c r="D2086">
        <v>0</v>
      </c>
    </row>
    <row r="2087" spans="1:4" x14ac:dyDescent="0.35">
      <c r="A2087" t="s">
        <v>2221</v>
      </c>
      <c r="B2087">
        <v>74</v>
      </c>
      <c r="C2087">
        <v>70</v>
      </c>
      <c r="D2087">
        <v>12</v>
      </c>
    </row>
    <row r="2088" spans="1:4" x14ac:dyDescent="0.35">
      <c r="A2088" t="s">
        <v>2222</v>
      </c>
      <c r="B2088">
        <v>35810</v>
      </c>
      <c r="C2088">
        <v>33321</v>
      </c>
      <c r="D2088">
        <v>1</v>
      </c>
    </row>
    <row r="2089" spans="1:4" x14ac:dyDescent="0.35">
      <c r="A2089" t="s">
        <v>2223</v>
      </c>
      <c r="B2089">
        <v>8052</v>
      </c>
      <c r="C2089">
        <v>3879</v>
      </c>
      <c r="D2089">
        <v>2</v>
      </c>
    </row>
    <row r="2090" spans="1:4" x14ac:dyDescent="0.35">
      <c r="A2090" t="s">
        <v>2224</v>
      </c>
      <c r="B2090">
        <v>550</v>
      </c>
      <c r="C2090">
        <v>11</v>
      </c>
      <c r="D2090">
        <v>5</v>
      </c>
    </row>
    <row r="2091" spans="1:4" x14ac:dyDescent="0.35">
      <c r="A2091" t="s">
        <v>2225</v>
      </c>
      <c r="B2091">
        <v>40000</v>
      </c>
      <c r="C2091">
        <v>5072</v>
      </c>
      <c r="D2091">
        <v>1</v>
      </c>
    </row>
    <row r="2092" spans="1:4" x14ac:dyDescent="0.35">
      <c r="A2092" t="s">
        <v>2226</v>
      </c>
      <c r="B2092">
        <v>4000</v>
      </c>
      <c r="C2092">
        <v>1200</v>
      </c>
      <c r="D2092">
        <v>0</v>
      </c>
    </row>
    <row r="2093" spans="1:4" x14ac:dyDescent="0.35">
      <c r="A2093" t="s">
        <v>2227</v>
      </c>
      <c r="B2093">
        <v>420</v>
      </c>
      <c r="C2093">
        <v>319</v>
      </c>
      <c r="D2093">
        <v>12</v>
      </c>
    </row>
    <row r="2094" spans="1:4" x14ac:dyDescent="0.35">
      <c r="A2094" t="s">
        <v>2228</v>
      </c>
      <c r="B2094">
        <v>470</v>
      </c>
      <c r="C2094">
        <v>464</v>
      </c>
      <c r="D2094">
        <v>10</v>
      </c>
    </row>
    <row r="2095" spans="1:4" x14ac:dyDescent="0.35">
      <c r="A2095" t="s">
        <v>2229</v>
      </c>
      <c r="B2095">
        <v>594</v>
      </c>
      <c r="C2095">
        <v>54</v>
      </c>
      <c r="D2095">
        <v>16</v>
      </c>
    </row>
    <row r="2096" spans="1:4" x14ac:dyDescent="0.35">
      <c r="A2096" t="s">
        <v>2230</v>
      </c>
      <c r="B2096">
        <v>990</v>
      </c>
      <c r="C2096">
        <v>510</v>
      </c>
      <c r="D2096">
        <v>9</v>
      </c>
    </row>
    <row r="2097" spans="1:4" x14ac:dyDescent="0.35">
      <c r="A2097" t="s">
        <v>2231</v>
      </c>
      <c r="B2097">
        <v>155</v>
      </c>
      <c r="C2097">
        <v>1</v>
      </c>
      <c r="D2097">
        <v>0</v>
      </c>
    </row>
    <row r="2098" spans="1:4" x14ac:dyDescent="0.35">
      <c r="A2098" t="s">
        <v>2232</v>
      </c>
      <c r="B2098">
        <v>79</v>
      </c>
      <c r="C2098">
        <v>79</v>
      </c>
      <c r="D2098">
        <v>0</v>
      </c>
    </row>
    <row r="2099" spans="1:4" x14ac:dyDescent="0.35">
      <c r="A2099" t="s">
        <v>2233</v>
      </c>
      <c r="B2099">
        <v>4833</v>
      </c>
      <c r="C2099">
        <v>5931</v>
      </c>
      <c r="D2099">
        <v>0</v>
      </c>
    </row>
    <row r="2100" spans="1:4" x14ac:dyDescent="0.35">
      <c r="A2100" t="s">
        <v>2234</v>
      </c>
      <c r="B2100">
        <v>159</v>
      </c>
      <c r="C2100">
        <v>213</v>
      </c>
      <c r="D2100">
        <v>15</v>
      </c>
    </row>
    <row r="2101" spans="1:4" x14ac:dyDescent="0.35">
      <c r="A2101" t="s">
        <v>2235</v>
      </c>
      <c r="B2101">
        <v>12</v>
      </c>
      <c r="C2101">
        <v>12</v>
      </c>
      <c r="D2101">
        <v>0</v>
      </c>
    </row>
    <row r="2102" spans="1:4" x14ac:dyDescent="0.35">
      <c r="A2102" t="s">
        <v>2236</v>
      </c>
      <c r="B2102">
        <v>142</v>
      </c>
      <c r="C2102">
        <v>105</v>
      </c>
      <c r="D2102">
        <v>32</v>
      </c>
    </row>
    <row r="2103" spans="1:4" x14ac:dyDescent="0.35">
      <c r="A2103" t="s">
        <v>2237</v>
      </c>
      <c r="B2103">
        <v>110</v>
      </c>
      <c r="C2103">
        <v>2</v>
      </c>
      <c r="D2103">
        <v>0</v>
      </c>
    </row>
    <row r="2104" spans="1:4" x14ac:dyDescent="0.35">
      <c r="A2104" t="s">
        <v>2238</v>
      </c>
      <c r="B2104">
        <v>118695</v>
      </c>
      <c r="C2104">
        <v>59367</v>
      </c>
      <c r="D2104">
        <v>0</v>
      </c>
    </row>
    <row r="2105" spans="1:4" x14ac:dyDescent="0.35">
      <c r="A2105" t="s">
        <v>2239</v>
      </c>
      <c r="B2105">
        <v>122324</v>
      </c>
      <c r="C2105">
        <v>70000</v>
      </c>
      <c r="D2105">
        <v>0</v>
      </c>
    </row>
    <row r="2106" spans="1:4" x14ac:dyDescent="0.35">
      <c r="A2106" t="s">
        <v>2240</v>
      </c>
      <c r="B2106">
        <v>100</v>
      </c>
      <c r="C2106">
        <v>20</v>
      </c>
      <c r="D2106">
        <v>116</v>
      </c>
    </row>
    <row r="2107" spans="1:4" x14ac:dyDescent="0.35">
      <c r="A2107" t="s">
        <v>2241</v>
      </c>
      <c r="B2107">
        <v>1569500</v>
      </c>
      <c r="C2107">
        <v>1383791</v>
      </c>
      <c r="D2107">
        <v>2</v>
      </c>
    </row>
    <row r="2108" spans="1:4" x14ac:dyDescent="0.35">
      <c r="A2108" t="s">
        <v>2242</v>
      </c>
      <c r="B2108">
        <v>7888</v>
      </c>
      <c r="C2108">
        <v>6851</v>
      </c>
      <c r="D2108">
        <v>2600</v>
      </c>
    </row>
    <row r="2109" spans="1:4" x14ac:dyDescent="0.35">
      <c r="A2109" t="s">
        <v>2243</v>
      </c>
      <c r="B2109">
        <v>158</v>
      </c>
      <c r="C2109">
        <v>152</v>
      </c>
      <c r="D2109">
        <v>10720</v>
      </c>
    </row>
    <row r="2110" spans="1:4" x14ac:dyDescent="0.35">
      <c r="A2110" t="s">
        <v>2244</v>
      </c>
      <c r="B2110">
        <v>4550</v>
      </c>
      <c r="C2110">
        <v>4436</v>
      </c>
      <c r="D2110">
        <v>6014</v>
      </c>
    </row>
    <row r="2111" spans="1:4" x14ac:dyDescent="0.35">
      <c r="A2111" t="s">
        <v>2245</v>
      </c>
      <c r="B2111">
        <v>5749</v>
      </c>
      <c r="C2111">
        <v>2996</v>
      </c>
      <c r="D2111">
        <v>0</v>
      </c>
    </row>
    <row r="2112" spans="1:4" x14ac:dyDescent="0.35">
      <c r="A2112" t="s">
        <v>2246</v>
      </c>
      <c r="B2112">
        <v>2144</v>
      </c>
      <c r="C2112">
        <v>2087</v>
      </c>
      <c r="D2112">
        <v>569</v>
      </c>
    </row>
    <row r="2113" spans="1:4" x14ac:dyDescent="0.35">
      <c r="A2113" t="s">
        <v>2247</v>
      </c>
      <c r="B2113">
        <v>21775</v>
      </c>
      <c r="C2113">
        <v>19800</v>
      </c>
      <c r="D2113">
        <v>86</v>
      </c>
    </row>
    <row r="2114" spans="1:4" x14ac:dyDescent="0.35">
      <c r="A2114" t="s">
        <v>2248</v>
      </c>
      <c r="B2114">
        <v>18600</v>
      </c>
      <c r="C2114">
        <v>18600</v>
      </c>
      <c r="D2114">
        <v>57</v>
      </c>
    </row>
    <row r="2115" spans="1:4" x14ac:dyDescent="0.35">
      <c r="A2115" t="s">
        <v>2249</v>
      </c>
      <c r="B2115">
        <v>4500</v>
      </c>
      <c r="C2115">
        <v>2672</v>
      </c>
      <c r="D2115">
        <v>0</v>
      </c>
    </row>
    <row r="2116" spans="1:4" x14ac:dyDescent="0.35">
      <c r="A2116" t="s">
        <v>2250</v>
      </c>
      <c r="B2116">
        <v>4000</v>
      </c>
      <c r="C2116">
        <v>505</v>
      </c>
      <c r="D2116">
        <v>0</v>
      </c>
    </row>
    <row r="2117" spans="1:4" x14ac:dyDescent="0.35">
      <c r="A2117" t="s">
        <v>2251</v>
      </c>
      <c r="B2117">
        <v>285</v>
      </c>
      <c r="C2117">
        <v>285</v>
      </c>
      <c r="D2117">
        <v>2958</v>
      </c>
    </row>
    <row r="2118" spans="1:4" x14ac:dyDescent="0.35">
      <c r="A2118" t="s">
        <v>2252</v>
      </c>
      <c r="B2118">
        <v>905</v>
      </c>
      <c r="C2118">
        <v>855</v>
      </c>
      <c r="D2118">
        <v>3521</v>
      </c>
    </row>
    <row r="2119" spans="1:4" x14ac:dyDescent="0.35">
      <c r="A2119" t="s">
        <v>2253</v>
      </c>
      <c r="B2119">
        <v>882</v>
      </c>
      <c r="C2119">
        <v>821</v>
      </c>
      <c r="D2119">
        <v>750</v>
      </c>
    </row>
    <row r="2120" spans="1:4" x14ac:dyDescent="0.35">
      <c r="A2120" t="s">
        <v>2254</v>
      </c>
      <c r="B2120">
        <v>49</v>
      </c>
      <c r="C2120">
        <v>12</v>
      </c>
      <c r="D2120">
        <v>648</v>
      </c>
    </row>
    <row r="2121" spans="1:4" x14ac:dyDescent="0.35">
      <c r="A2121" t="s">
        <v>2255</v>
      </c>
      <c r="B2121">
        <v>778</v>
      </c>
      <c r="C2121">
        <v>465</v>
      </c>
      <c r="D2121">
        <v>0</v>
      </c>
    </row>
    <row r="2122" spans="1:4" x14ac:dyDescent="0.35">
      <c r="A2122" t="s">
        <v>2256</v>
      </c>
      <c r="B2122">
        <v>2546</v>
      </c>
      <c r="C2122">
        <v>2300</v>
      </c>
      <c r="D2122">
        <v>0</v>
      </c>
    </row>
    <row r="2123" spans="1:4" x14ac:dyDescent="0.35">
      <c r="A2123" t="s">
        <v>2257</v>
      </c>
      <c r="B2123">
        <v>1534</v>
      </c>
      <c r="C2123">
        <v>1280</v>
      </c>
      <c r="D2123">
        <v>0</v>
      </c>
    </row>
    <row r="2124" spans="1:4" x14ac:dyDescent="0.35">
      <c r="A2124" t="s">
        <v>2258</v>
      </c>
      <c r="B2124">
        <v>7137</v>
      </c>
      <c r="C2124">
        <v>5502</v>
      </c>
      <c r="D2124">
        <v>0</v>
      </c>
    </row>
    <row r="2125" spans="1:4" x14ac:dyDescent="0.35">
      <c r="A2125" t="s">
        <v>2259</v>
      </c>
      <c r="B2125">
        <v>750</v>
      </c>
      <c r="C2125">
        <v>713</v>
      </c>
      <c r="D2125">
        <v>0</v>
      </c>
    </row>
    <row r="2126" spans="1:4" x14ac:dyDescent="0.35">
      <c r="A2126" t="s">
        <v>2260</v>
      </c>
      <c r="B2126">
        <v>573</v>
      </c>
      <c r="C2126">
        <v>424</v>
      </c>
      <c r="D2126">
        <v>0</v>
      </c>
    </row>
    <row r="2127" spans="1:4" x14ac:dyDescent="0.35">
      <c r="A2127" t="s">
        <v>2261</v>
      </c>
      <c r="B2127">
        <v>987</v>
      </c>
      <c r="C2127">
        <v>900</v>
      </c>
      <c r="D2127">
        <v>0</v>
      </c>
    </row>
    <row r="2128" spans="1:4" x14ac:dyDescent="0.35">
      <c r="A2128" t="s">
        <v>153</v>
      </c>
      <c r="B2128">
        <v>322</v>
      </c>
      <c r="C2128">
        <v>320</v>
      </c>
      <c r="D2128">
        <v>380</v>
      </c>
    </row>
    <row r="2129" spans="1:4" x14ac:dyDescent="0.35">
      <c r="A2129" t="s">
        <v>2262</v>
      </c>
      <c r="B2129">
        <v>1</v>
      </c>
      <c r="C2129">
        <v>3</v>
      </c>
      <c r="D2129">
        <v>3589</v>
      </c>
    </row>
    <row r="2130" spans="1:4" x14ac:dyDescent="0.35">
      <c r="A2130" t="s">
        <v>2263</v>
      </c>
      <c r="B2130">
        <v>70000</v>
      </c>
      <c r="C2130">
        <v>71000</v>
      </c>
      <c r="D2130">
        <v>0</v>
      </c>
    </row>
    <row r="2131" spans="1:4" x14ac:dyDescent="0.35">
      <c r="A2131" t="s">
        <v>2264</v>
      </c>
      <c r="B2131">
        <v>394998</v>
      </c>
      <c r="C2131">
        <v>300000</v>
      </c>
      <c r="D2131">
        <v>1</v>
      </c>
    </row>
    <row r="2132" spans="1:4" x14ac:dyDescent="0.35">
      <c r="A2132" t="s">
        <v>2265</v>
      </c>
      <c r="B2132">
        <v>90000</v>
      </c>
      <c r="C2132">
        <v>55000</v>
      </c>
      <c r="D2132">
        <v>1</v>
      </c>
    </row>
    <row r="2133" spans="1:4" x14ac:dyDescent="0.35">
      <c r="A2133" t="s">
        <v>2266</v>
      </c>
      <c r="B2133">
        <v>33361</v>
      </c>
      <c r="C2133">
        <v>47055</v>
      </c>
      <c r="D2133">
        <v>5</v>
      </c>
    </row>
    <row r="2134" spans="1:4" x14ac:dyDescent="0.35">
      <c r="A2134" t="s">
        <v>2267</v>
      </c>
      <c r="B2134">
        <v>1385000</v>
      </c>
      <c r="C2134">
        <v>850000</v>
      </c>
      <c r="D2134">
        <v>0</v>
      </c>
    </row>
    <row r="2135" spans="1:4" x14ac:dyDescent="0.35">
      <c r="A2135" t="s">
        <v>2268</v>
      </c>
      <c r="B2135">
        <v>70000</v>
      </c>
      <c r="C2135">
        <v>62001</v>
      </c>
      <c r="D2135">
        <v>0</v>
      </c>
    </row>
    <row r="2136" spans="1:4" x14ac:dyDescent="0.35">
      <c r="A2136" t="s">
        <v>2269</v>
      </c>
      <c r="B2136">
        <v>55000</v>
      </c>
      <c r="C2136">
        <v>53000</v>
      </c>
      <c r="D2136">
        <v>0</v>
      </c>
    </row>
    <row r="2137" spans="1:4" x14ac:dyDescent="0.35">
      <c r="A2137" t="s">
        <v>2270</v>
      </c>
      <c r="B2137">
        <v>935000</v>
      </c>
      <c r="C2137">
        <v>768943</v>
      </c>
      <c r="D2137">
        <v>0</v>
      </c>
    </row>
    <row r="2138" spans="1:4" x14ac:dyDescent="0.35">
      <c r="A2138" t="s">
        <v>2271</v>
      </c>
      <c r="B2138">
        <v>115555</v>
      </c>
      <c r="C2138">
        <v>86900</v>
      </c>
      <c r="D2138">
        <v>0</v>
      </c>
    </row>
    <row r="2139" spans="1:4" x14ac:dyDescent="0.35">
      <c r="A2139" t="s">
        <v>2272</v>
      </c>
      <c r="B2139">
        <v>99997</v>
      </c>
      <c r="C2139">
        <v>65000</v>
      </c>
      <c r="D2139">
        <v>0</v>
      </c>
    </row>
    <row r="2140" spans="1:4" x14ac:dyDescent="0.35">
      <c r="A2140" t="s">
        <v>2273</v>
      </c>
      <c r="B2140">
        <v>170000</v>
      </c>
      <c r="C2140">
        <v>82000</v>
      </c>
      <c r="D2140">
        <v>0</v>
      </c>
    </row>
    <row r="2141" spans="1:4" x14ac:dyDescent="0.35">
      <c r="A2141" t="s">
        <v>2274</v>
      </c>
      <c r="B2141">
        <v>1808720</v>
      </c>
      <c r="C2141">
        <v>1432901</v>
      </c>
      <c r="D2141">
        <v>0</v>
      </c>
    </row>
    <row r="2142" spans="1:4" x14ac:dyDescent="0.35">
      <c r="A2142" t="s">
        <v>2275</v>
      </c>
      <c r="B2142">
        <v>124090</v>
      </c>
      <c r="C2142">
        <v>61319</v>
      </c>
      <c r="D2142">
        <v>0</v>
      </c>
    </row>
    <row r="2143" spans="1:4" x14ac:dyDescent="0.35">
      <c r="A2143" t="s">
        <v>2276</v>
      </c>
      <c r="B2143">
        <v>1</v>
      </c>
      <c r="C2143">
        <v>2</v>
      </c>
      <c r="D2143">
        <v>70672</v>
      </c>
    </row>
    <row r="2144" spans="1:4" x14ac:dyDescent="0.35">
      <c r="A2144" t="s">
        <v>2277</v>
      </c>
      <c r="B2144">
        <v>33</v>
      </c>
      <c r="C2144">
        <v>29</v>
      </c>
      <c r="D2144">
        <v>386</v>
      </c>
    </row>
    <row r="2145" spans="1:4" x14ac:dyDescent="0.35">
      <c r="A2145" t="s">
        <v>2278</v>
      </c>
      <c r="B2145">
        <v>20463</v>
      </c>
      <c r="C2145">
        <v>21540</v>
      </c>
      <c r="D2145">
        <v>3</v>
      </c>
    </row>
    <row r="2146" spans="1:4" x14ac:dyDescent="0.35">
      <c r="A2146" t="s">
        <v>2279</v>
      </c>
      <c r="B2146">
        <v>785</v>
      </c>
      <c r="C2146">
        <v>427</v>
      </c>
      <c r="D2146">
        <v>7</v>
      </c>
    </row>
    <row r="2147" spans="1:4" x14ac:dyDescent="0.35">
      <c r="A2147" t="s">
        <v>2280</v>
      </c>
      <c r="B2147">
        <v>2</v>
      </c>
      <c r="C2147">
        <v>2</v>
      </c>
      <c r="D2147">
        <v>1069</v>
      </c>
    </row>
    <row r="2148" spans="1:4" x14ac:dyDescent="0.35">
      <c r="A2148" t="s">
        <v>2281</v>
      </c>
      <c r="B2148">
        <v>17</v>
      </c>
      <c r="C2148">
        <v>16</v>
      </c>
      <c r="D2148">
        <v>174657</v>
      </c>
    </row>
    <row r="2149" spans="1:4" x14ac:dyDescent="0.35">
      <c r="A2149" t="s">
        <v>2282</v>
      </c>
      <c r="B2149">
        <v>4</v>
      </c>
      <c r="C2149">
        <v>3</v>
      </c>
      <c r="D2149">
        <v>54461</v>
      </c>
    </row>
    <row r="2150" spans="1:4" x14ac:dyDescent="0.35">
      <c r="A2150" t="s">
        <v>2283</v>
      </c>
      <c r="B2150">
        <v>3000</v>
      </c>
      <c r="C2150">
        <v>200</v>
      </c>
      <c r="D2150">
        <v>0</v>
      </c>
    </row>
    <row r="2151" spans="1:4" x14ac:dyDescent="0.35">
      <c r="A2151" t="s">
        <v>2284</v>
      </c>
      <c r="B2151">
        <v>3500</v>
      </c>
      <c r="C2151">
        <v>3500</v>
      </c>
      <c r="D2151">
        <v>2</v>
      </c>
    </row>
    <row r="2152" spans="1:4" x14ac:dyDescent="0.35">
      <c r="A2152" t="s">
        <v>2285</v>
      </c>
      <c r="B2152">
        <v>0</v>
      </c>
      <c r="C2152">
        <v>0</v>
      </c>
      <c r="D2152">
        <v>0</v>
      </c>
    </row>
    <row r="2153" spans="1:4" x14ac:dyDescent="0.35">
      <c r="A2153" t="s">
        <v>2286</v>
      </c>
      <c r="B2153">
        <v>6500</v>
      </c>
      <c r="C2153">
        <v>6119</v>
      </c>
      <c r="D2153">
        <v>2</v>
      </c>
    </row>
    <row r="2154" spans="1:4" x14ac:dyDescent="0.35">
      <c r="A2154" t="s">
        <v>2287</v>
      </c>
      <c r="B2154">
        <v>0</v>
      </c>
      <c r="C2154">
        <v>0</v>
      </c>
      <c r="D2154">
        <v>0</v>
      </c>
    </row>
    <row r="2155" spans="1:4" x14ac:dyDescent="0.35">
      <c r="A2155" t="s">
        <v>2288</v>
      </c>
      <c r="B2155">
        <v>21239</v>
      </c>
      <c r="C2155">
        <v>20001</v>
      </c>
      <c r="D2155">
        <v>0</v>
      </c>
    </row>
    <row r="2156" spans="1:4" x14ac:dyDescent="0.35">
      <c r="A2156" t="s">
        <v>2289</v>
      </c>
      <c r="B2156">
        <v>40336959</v>
      </c>
      <c r="C2156">
        <v>39491150</v>
      </c>
      <c r="D2156">
        <v>13</v>
      </c>
    </row>
    <row r="2157" spans="1:4" x14ac:dyDescent="0.35">
      <c r="A2157" t="s">
        <v>2290</v>
      </c>
      <c r="B2157">
        <v>13277271</v>
      </c>
      <c r="C2157">
        <v>12934361</v>
      </c>
      <c r="D2157">
        <v>19</v>
      </c>
    </row>
    <row r="2158" spans="1:4" x14ac:dyDescent="0.35">
      <c r="A2158" t="s">
        <v>2291</v>
      </c>
      <c r="B2158">
        <v>15540085</v>
      </c>
      <c r="C2158">
        <v>15300367</v>
      </c>
      <c r="D2158">
        <v>9</v>
      </c>
    </row>
    <row r="2159" spans="1:4" x14ac:dyDescent="0.35">
      <c r="A2159" t="s">
        <v>2292</v>
      </c>
      <c r="B2159">
        <v>11500240</v>
      </c>
      <c r="C2159">
        <v>11263380</v>
      </c>
      <c r="D2159">
        <v>9</v>
      </c>
    </row>
    <row r="2160" spans="1:4" x14ac:dyDescent="0.35">
      <c r="A2160" t="s">
        <v>2293</v>
      </c>
      <c r="B2160">
        <v>390</v>
      </c>
      <c r="C2160">
        <v>389</v>
      </c>
      <c r="D2160">
        <v>18595</v>
      </c>
    </row>
    <row r="2161" spans="1:4" x14ac:dyDescent="0.35">
      <c r="A2161" t="s">
        <v>2294</v>
      </c>
      <c r="B2161">
        <v>6</v>
      </c>
      <c r="C2161">
        <v>5</v>
      </c>
      <c r="D2161">
        <v>6250</v>
      </c>
    </row>
    <row r="2162" spans="1:4" x14ac:dyDescent="0.35">
      <c r="A2162" t="s">
        <v>2295</v>
      </c>
      <c r="B2162">
        <v>2222</v>
      </c>
      <c r="C2162">
        <v>1981</v>
      </c>
      <c r="D2162">
        <v>7</v>
      </c>
    </row>
    <row r="2163" spans="1:4" x14ac:dyDescent="0.35">
      <c r="A2163" t="s">
        <v>2296</v>
      </c>
      <c r="B2163">
        <v>2340</v>
      </c>
      <c r="C2163">
        <v>2189</v>
      </c>
      <c r="D2163">
        <v>2</v>
      </c>
    </row>
    <row r="2164" spans="1:4" x14ac:dyDescent="0.35">
      <c r="A2164" t="s">
        <v>2297</v>
      </c>
      <c r="B2164">
        <v>0</v>
      </c>
      <c r="C2164">
        <v>0</v>
      </c>
      <c r="D2164">
        <v>0</v>
      </c>
    </row>
    <row r="2165" spans="1:4" x14ac:dyDescent="0.35">
      <c r="A2165" t="s">
        <v>2298</v>
      </c>
      <c r="B2165">
        <v>2151848</v>
      </c>
      <c r="C2165">
        <v>2218400</v>
      </c>
      <c r="D2165">
        <v>2</v>
      </c>
    </row>
    <row r="2166" spans="1:4" x14ac:dyDescent="0.35">
      <c r="A2166" t="s">
        <v>2299</v>
      </c>
      <c r="B2166">
        <v>73544</v>
      </c>
      <c r="C2166">
        <v>71967</v>
      </c>
      <c r="D2166">
        <v>12</v>
      </c>
    </row>
    <row r="2167" spans="1:4" x14ac:dyDescent="0.35">
      <c r="A2167" t="s">
        <v>2300</v>
      </c>
      <c r="B2167">
        <v>29186</v>
      </c>
      <c r="C2167">
        <v>28684</v>
      </c>
      <c r="D2167">
        <v>19</v>
      </c>
    </row>
    <row r="2168" spans="1:4" x14ac:dyDescent="0.35">
      <c r="A2168" t="s">
        <v>2301</v>
      </c>
      <c r="B2168">
        <v>100434</v>
      </c>
      <c r="C2168">
        <v>105719</v>
      </c>
      <c r="D2168">
        <v>6</v>
      </c>
    </row>
    <row r="2169" spans="1:4" x14ac:dyDescent="0.35">
      <c r="A2169" t="s">
        <v>2302</v>
      </c>
      <c r="B2169">
        <v>94885</v>
      </c>
      <c r="C2169">
        <v>95000</v>
      </c>
      <c r="D2169">
        <v>0</v>
      </c>
    </row>
    <row r="2170" spans="1:4" x14ac:dyDescent="0.35">
      <c r="A2170" t="s">
        <v>2303</v>
      </c>
      <c r="B2170">
        <v>548888</v>
      </c>
      <c r="C2170">
        <v>498755</v>
      </c>
      <c r="D2170">
        <v>28</v>
      </c>
    </row>
    <row r="2171" spans="1:4" x14ac:dyDescent="0.35">
      <c r="A2171" t="s">
        <v>2304</v>
      </c>
      <c r="B2171">
        <v>508508</v>
      </c>
      <c r="C2171">
        <v>457999</v>
      </c>
      <c r="D2171">
        <v>3</v>
      </c>
    </row>
    <row r="2172" spans="1:4" x14ac:dyDescent="0.35">
      <c r="A2172" t="s">
        <v>2305</v>
      </c>
      <c r="B2172">
        <v>1358915</v>
      </c>
      <c r="C2172">
        <v>1349999</v>
      </c>
      <c r="D2172">
        <v>21</v>
      </c>
    </row>
    <row r="2173" spans="1:4" x14ac:dyDescent="0.35">
      <c r="A2173" t="s">
        <v>2306</v>
      </c>
      <c r="B2173">
        <v>1245401</v>
      </c>
      <c r="C2173">
        <v>1253736</v>
      </c>
      <c r="D2173">
        <v>7</v>
      </c>
    </row>
    <row r="2174" spans="1:4" x14ac:dyDescent="0.35">
      <c r="A2174" t="s">
        <v>2307</v>
      </c>
      <c r="B2174">
        <v>91755</v>
      </c>
      <c r="C2174">
        <v>101413</v>
      </c>
      <c r="D2174">
        <v>2</v>
      </c>
    </row>
    <row r="2175" spans="1:4" x14ac:dyDescent="0.35">
      <c r="A2175" t="s">
        <v>2308</v>
      </c>
      <c r="B2175">
        <v>49</v>
      </c>
      <c r="C2175">
        <v>49</v>
      </c>
      <c r="D2175">
        <v>13</v>
      </c>
    </row>
    <row r="2176" spans="1:4" x14ac:dyDescent="0.35">
      <c r="A2176" t="s">
        <v>2309</v>
      </c>
      <c r="B2176">
        <v>5000</v>
      </c>
      <c r="C2176">
        <v>519</v>
      </c>
      <c r="D2176">
        <v>0</v>
      </c>
    </row>
    <row r="2177" spans="1:4" x14ac:dyDescent="0.35">
      <c r="A2177" t="s">
        <v>2310</v>
      </c>
      <c r="B2177">
        <v>197</v>
      </c>
      <c r="C2177">
        <v>191</v>
      </c>
      <c r="D2177">
        <v>200</v>
      </c>
    </row>
    <row r="2178" spans="1:4" x14ac:dyDescent="0.35">
      <c r="A2178" t="s">
        <v>2311</v>
      </c>
      <c r="B2178">
        <v>178992</v>
      </c>
      <c r="C2178">
        <v>423</v>
      </c>
      <c r="D2178">
        <v>21</v>
      </c>
    </row>
    <row r="2179" spans="1:4" x14ac:dyDescent="0.35">
      <c r="A2179" t="s">
        <v>2312</v>
      </c>
      <c r="B2179">
        <v>1574</v>
      </c>
      <c r="C2179">
        <v>1354</v>
      </c>
      <c r="D2179">
        <v>50</v>
      </c>
    </row>
    <row r="2180" spans="1:4" x14ac:dyDescent="0.35">
      <c r="A2180" t="s">
        <v>2313</v>
      </c>
      <c r="B2180">
        <v>840</v>
      </c>
      <c r="C2180">
        <v>474</v>
      </c>
      <c r="D2180">
        <v>45</v>
      </c>
    </row>
    <row r="2181" spans="1:4" x14ac:dyDescent="0.35">
      <c r="A2181" t="s">
        <v>157</v>
      </c>
      <c r="B2181">
        <v>846</v>
      </c>
      <c r="C2181">
        <v>628</v>
      </c>
      <c r="D2181">
        <v>31</v>
      </c>
    </row>
    <row r="2182" spans="1:4" x14ac:dyDescent="0.35">
      <c r="A2182" t="s">
        <v>2314</v>
      </c>
      <c r="B2182">
        <v>749</v>
      </c>
      <c r="C2182">
        <v>730</v>
      </c>
      <c r="D2182">
        <v>41</v>
      </c>
    </row>
    <row r="2183" spans="1:4" x14ac:dyDescent="0.35">
      <c r="A2183" t="s">
        <v>2315</v>
      </c>
      <c r="B2183">
        <v>29504</v>
      </c>
      <c r="C2183">
        <v>29001</v>
      </c>
      <c r="D2183">
        <v>348</v>
      </c>
    </row>
    <row r="2184" spans="1:4" x14ac:dyDescent="0.35">
      <c r="A2184" t="s">
        <v>2316</v>
      </c>
      <c r="B2184">
        <v>390</v>
      </c>
      <c r="C2184">
        <v>391</v>
      </c>
      <c r="D2184">
        <v>0</v>
      </c>
    </row>
    <row r="2185" spans="1:4" x14ac:dyDescent="0.35">
      <c r="A2185" t="s">
        <v>2317</v>
      </c>
      <c r="B2185">
        <v>1949</v>
      </c>
      <c r="C2185">
        <v>1738</v>
      </c>
      <c r="D2185">
        <v>122</v>
      </c>
    </row>
    <row r="2186" spans="1:4" x14ac:dyDescent="0.35">
      <c r="A2186" t="s">
        <v>2318</v>
      </c>
      <c r="B2186">
        <v>990</v>
      </c>
      <c r="C2186">
        <v>900</v>
      </c>
      <c r="D2186">
        <v>187</v>
      </c>
    </row>
    <row r="2187" spans="1:4" x14ac:dyDescent="0.35">
      <c r="A2187" t="s">
        <v>2319</v>
      </c>
      <c r="B2187">
        <v>576</v>
      </c>
      <c r="C2187">
        <v>549</v>
      </c>
      <c r="D2187">
        <v>26</v>
      </c>
    </row>
    <row r="2188" spans="1:4" x14ac:dyDescent="0.35">
      <c r="A2188" t="s">
        <v>2320</v>
      </c>
      <c r="B2188">
        <v>8000</v>
      </c>
      <c r="C2188">
        <v>3100</v>
      </c>
      <c r="D2188">
        <v>2</v>
      </c>
    </row>
    <row r="2189" spans="1:4" x14ac:dyDescent="0.35">
      <c r="A2189" t="s">
        <v>2321</v>
      </c>
      <c r="B2189">
        <v>5</v>
      </c>
      <c r="C2189">
        <v>10</v>
      </c>
      <c r="D2189">
        <v>0</v>
      </c>
    </row>
    <row r="2190" spans="1:4" x14ac:dyDescent="0.35">
      <c r="A2190" t="s">
        <v>2322</v>
      </c>
      <c r="B2190">
        <v>213</v>
      </c>
      <c r="C2190">
        <v>88</v>
      </c>
      <c r="D2190">
        <v>257</v>
      </c>
    </row>
    <row r="2191" spans="1:4" x14ac:dyDescent="0.35">
      <c r="A2191" t="s">
        <v>2323</v>
      </c>
      <c r="B2191">
        <v>83766665</v>
      </c>
      <c r="C2191">
        <v>83855555</v>
      </c>
      <c r="D2191">
        <v>1</v>
      </c>
    </row>
    <row r="2192" spans="1:4" x14ac:dyDescent="0.35">
      <c r="A2192" t="s">
        <v>2324</v>
      </c>
      <c r="B2192">
        <v>88597165</v>
      </c>
      <c r="C2192">
        <v>86750001</v>
      </c>
      <c r="D2192">
        <v>9</v>
      </c>
    </row>
    <row r="2193" spans="1:4" x14ac:dyDescent="0.35">
      <c r="A2193" t="s">
        <v>2325</v>
      </c>
      <c r="B2193">
        <v>943</v>
      </c>
      <c r="C2193">
        <v>893</v>
      </c>
      <c r="D2193">
        <v>692</v>
      </c>
    </row>
    <row r="2194" spans="1:4" x14ac:dyDescent="0.35">
      <c r="A2194" t="s">
        <v>2326</v>
      </c>
      <c r="B2194">
        <v>51108</v>
      </c>
      <c r="C2194">
        <v>51108</v>
      </c>
      <c r="D2194">
        <v>34</v>
      </c>
    </row>
    <row r="2195" spans="1:4" x14ac:dyDescent="0.35">
      <c r="A2195" t="s">
        <v>2327</v>
      </c>
      <c r="B2195">
        <v>23</v>
      </c>
      <c r="C2195">
        <v>21</v>
      </c>
      <c r="D2195">
        <v>0</v>
      </c>
    </row>
    <row r="2196" spans="1:4" x14ac:dyDescent="0.35">
      <c r="A2196" t="s">
        <v>2328</v>
      </c>
      <c r="B2196">
        <v>351141</v>
      </c>
      <c r="C2196">
        <v>342116</v>
      </c>
      <c r="D2196">
        <v>66</v>
      </c>
    </row>
    <row r="2197" spans="1:4" x14ac:dyDescent="0.35">
      <c r="A2197" t="s">
        <v>2329</v>
      </c>
      <c r="B2197">
        <v>100</v>
      </c>
      <c r="C2197">
        <v>117</v>
      </c>
      <c r="D2197">
        <v>0</v>
      </c>
    </row>
    <row r="2198" spans="1:4" x14ac:dyDescent="0.35">
      <c r="A2198" t="s">
        <v>2330</v>
      </c>
      <c r="B2198">
        <v>20</v>
      </c>
      <c r="C2198">
        <v>14</v>
      </c>
      <c r="D2198">
        <v>2036</v>
      </c>
    </row>
    <row r="2199" spans="1:4" x14ac:dyDescent="0.35">
      <c r="A2199" t="s">
        <v>2331</v>
      </c>
      <c r="B2199">
        <v>2855</v>
      </c>
      <c r="C2199">
        <v>2851</v>
      </c>
      <c r="D2199">
        <v>10657</v>
      </c>
    </row>
    <row r="2200" spans="1:4" x14ac:dyDescent="0.35">
      <c r="A2200" t="s">
        <v>105</v>
      </c>
      <c r="B2200">
        <v>3350</v>
      </c>
      <c r="C2200">
        <v>3275</v>
      </c>
      <c r="D2200">
        <v>23698</v>
      </c>
    </row>
    <row r="2201" spans="1:4" x14ac:dyDescent="0.35">
      <c r="A2201" t="s">
        <v>2332</v>
      </c>
      <c r="B2201">
        <v>1600</v>
      </c>
      <c r="C2201">
        <v>1443</v>
      </c>
      <c r="D2201">
        <v>1403</v>
      </c>
    </row>
    <row r="2202" spans="1:4" x14ac:dyDescent="0.35">
      <c r="A2202" t="s">
        <v>2333</v>
      </c>
      <c r="B2202">
        <v>233</v>
      </c>
      <c r="C2202">
        <v>210</v>
      </c>
      <c r="D2202">
        <v>24</v>
      </c>
    </row>
    <row r="2203" spans="1:4" x14ac:dyDescent="0.35">
      <c r="A2203" t="s">
        <v>2334</v>
      </c>
      <c r="B2203">
        <v>1144</v>
      </c>
      <c r="C2203">
        <v>111</v>
      </c>
      <c r="D2203">
        <v>0</v>
      </c>
    </row>
    <row r="2204" spans="1:4" x14ac:dyDescent="0.35">
      <c r="A2204" t="s">
        <v>2335</v>
      </c>
      <c r="B2204">
        <v>9999</v>
      </c>
      <c r="C2204">
        <v>2429</v>
      </c>
      <c r="D2204">
        <v>0</v>
      </c>
    </row>
    <row r="2205" spans="1:4" x14ac:dyDescent="0.35">
      <c r="A2205" t="s">
        <v>2336</v>
      </c>
      <c r="B2205">
        <v>9999</v>
      </c>
      <c r="C2205">
        <v>722</v>
      </c>
      <c r="D2205">
        <v>0</v>
      </c>
    </row>
    <row r="2206" spans="1:4" x14ac:dyDescent="0.35">
      <c r="A2206" t="s">
        <v>2337</v>
      </c>
      <c r="B2206">
        <v>2000</v>
      </c>
      <c r="C2206">
        <v>1951</v>
      </c>
      <c r="D2206">
        <v>9605</v>
      </c>
    </row>
    <row r="2207" spans="1:4" x14ac:dyDescent="0.35">
      <c r="A2207" t="s">
        <v>138</v>
      </c>
      <c r="B2207">
        <v>2397</v>
      </c>
      <c r="C2207">
        <v>2378</v>
      </c>
      <c r="D2207">
        <v>102</v>
      </c>
    </row>
    <row r="2208" spans="1:4" x14ac:dyDescent="0.35">
      <c r="A2208" t="s">
        <v>2338</v>
      </c>
      <c r="B2208">
        <v>199</v>
      </c>
      <c r="C2208">
        <v>208</v>
      </c>
      <c r="D2208">
        <v>898</v>
      </c>
    </row>
    <row r="2209" spans="1:4" x14ac:dyDescent="0.35">
      <c r="A2209" t="s">
        <v>2339</v>
      </c>
      <c r="B2209">
        <v>12</v>
      </c>
      <c r="C2209">
        <v>16</v>
      </c>
      <c r="D2209">
        <v>14711</v>
      </c>
    </row>
    <row r="2210" spans="1:4" x14ac:dyDescent="0.35">
      <c r="A2210" t="s">
        <v>2340</v>
      </c>
      <c r="B2210">
        <v>51000</v>
      </c>
      <c r="C2210">
        <v>50050</v>
      </c>
      <c r="D2210">
        <v>170</v>
      </c>
    </row>
    <row r="2211" spans="1:4" x14ac:dyDescent="0.35">
      <c r="A2211" t="s">
        <v>2341</v>
      </c>
      <c r="B2211">
        <v>2294</v>
      </c>
      <c r="C2211">
        <v>1000</v>
      </c>
      <c r="D2211">
        <v>0</v>
      </c>
    </row>
    <row r="2212" spans="1:4" x14ac:dyDescent="0.35">
      <c r="A2212" t="s">
        <v>2342</v>
      </c>
      <c r="B2212">
        <v>48000</v>
      </c>
      <c r="C2212">
        <v>48000</v>
      </c>
      <c r="D2212">
        <v>866</v>
      </c>
    </row>
    <row r="2213" spans="1:4" x14ac:dyDescent="0.35">
      <c r="A2213" t="s">
        <v>2343</v>
      </c>
      <c r="B2213">
        <v>3570562</v>
      </c>
      <c r="C2213">
        <v>3426022</v>
      </c>
      <c r="D2213">
        <v>2</v>
      </c>
    </row>
    <row r="2214" spans="1:4" x14ac:dyDescent="0.35">
      <c r="A2214" t="s">
        <v>2344</v>
      </c>
      <c r="B2214">
        <v>7655</v>
      </c>
      <c r="C2214">
        <v>4758</v>
      </c>
      <c r="D2214">
        <v>0</v>
      </c>
    </row>
    <row r="2215" spans="1:4" x14ac:dyDescent="0.35">
      <c r="A2215" t="s">
        <v>2345</v>
      </c>
      <c r="B2215">
        <v>42200</v>
      </c>
      <c r="C2215">
        <v>41862</v>
      </c>
      <c r="D2215">
        <v>80</v>
      </c>
    </row>
    <row r="2216" spans="1:4" x14ac:dyDescent="0.35">
      <c r="A2216" t="s">
        <v>2346</v>
      </c>
      <c r="B2216">
        <v>19500</v>
      </c>
      <c r="C2216">
        <v>19940</v>
      </c>
      <c r="D2216">
        <v>503</v>
      </c>
    </row>
    <row r="2217" spans="1:4" x14ac:dyDescent="0.35">
      <c r="A2217" t="s">
        <v>2347</v>
      </c>
      <c r="B2217">
        <v>25400</v>
      </c>
      <c r="C2217">
        <v>24002</v>
      </c>
      <c r="D2217">
        <v>174</v>
      </c>
    </row>
    <row r="2218" spans="1:4" x14ac:dyDescent="0.35">
      <c r="A2218" t="s">
        <v>2348</v>
      </c>
      <c r="B2218">
        <v>584</v>
      </c>
      <c r="C2218">
        <v>613</v>
      </c>
      <c r="D2218">
        <v>0</v>
      </c>
    </row>
    <row r="2219" spans="1:4" x14ac:dyDescent="0.35">
      <c r="A2219" t="s">
        <v>2349</v>
      </c>
      <c r="B2219">
        <v>3727</v>
      </c>
      <c r="C2219">
        <v>2111</v>
      </c>
      <c r="D2219">
        <v>0</v>
      </c>
    </row>
    <row r="2220" spans="1:4" x14ac:dyDescent="0.35">
      <c r="A2220" t="s">
        <v>2350</v>
      </c>
      <c r="B2220">
        <v>61000</v>
      </c>
      <c r="C2220">
        <v>59139</v>
      </c>
      <c r="D2220">
        <v>68</v>
      </c>
    </row>
    <row r="2221" spans="1:4" x14ac:dyDescent="0.35">
      <c r="A2221" t="s">
        <v>2351</v>
      </c>
      <c r="B2221">
        <v>317000</v>
      </c>
      <c r="C2221">
        <v>310000</v>
      </c>
      <c r="D2221">
        <v>21</v>
      </c>
    </row>
    <row r="2222" spans="1:4" x14ac:dyDescent="0.35">
      <c r="A2222" t="s">
        <v>2352</v>
      </c>
      <c r="B2222">
        <v>20836</v>
      </c>
      <c r="C2222">
        <v>20836</v>
      </c>
      <c r="D2222">
        <v>112</v>
      </c>
    </row>
    <row r="2223" spans="1:4" x14ac:dyDescent="0.35">
      <c r="A2223" t="s">
        <v>2353</v>
      </c>
      <c r="B2223">
        <v>3914</v>
      </c>
      <c r="C2223">
        <v>4120</v>
      </c>
      <c r="D2223">
        <v>0</v>
      </c>
    </row>
    <row r="2224" spans="1:4" x14ac:dyDescent="0.35">
      <c r="A2224" t="s">
        <v>2354</v>
      </c>
      <c r="B2224">
        <v>6175</v>
      </c>
      <c r="C2224">
        <v>5117</v>
      </c>
      <c r="D2224">
        <v>7</v>
      </c>
    </row>
    <row r="2225" spans="1:4" x14ac:dyDescent="0.35">
      <c r="A2225" t="s">
        <v>2355</v>
      </c>
      <c r="B2225">
        <v>1399</v>
      </c>
      <c r="C2225">
        <v>207</v>
      </c>
      <c r="D2225">
        <v>4</v>
      </c>
    </row>
    <row r="2226" spans="1:4" x14ac:dyDescent="0.35">
      <c r="A2226" t="s">
        <v>2356</v>
      </c>
      <c r="B2226">
        <v>137325</v>
      </c>
      <c r="C2226">
        <v>137325</v>
      </c>
      <c r="D2226">
        <v>193</v>
      </c>
    </row>
    <row r="2227" spans="1:4" x14ac:dyDescent="0.35">
      <c r="A2227" t="s">
        <v>2357</v>
      </c>
      <c r="B2227">
        <v>749</v>
      </c>
      <c r="C2227">
        <v>276</v>
      </c>
      <c r="D2227">
        <v>35</v>
      </c>
    </row>
    <row r="2228" spans="1:4" x14ac:dyDescent="0.35">
      <c r="A2228" t="s">
        <v>2358</v>
      </c>
      <c r="B2228">
        <v>1045</v>
      </c>
      <c r="C2228">
        <v>3</v>
      </c>
      <c r="D2228">
        <v>2</v>
      </c>
    </row>
    <row r="2229" spans="1:4" x14ac:dyDescent="0.35">
      <c r="A2229" t="s">
        <v>2359</v>
      </c>
      <c r="B2229">
        <v>10000</v>
      </c>
      <c r="C2229">
        <v>1138</v>
      </c>
      <c r="D2229">
        <v>2</v>
      </c>
    </row>
    <row r="2230" spans="1:4" x14ac:dyDescent="0.35">
      <c r="A2230" t="s">
        <v>2360</v>
      </c>
      <c r="B2230">
        <v>377</v>
      </c>
      <c r="C2230">
        <v>583</v>
      </c>
      <c r="D2230">
        <v>1</v>
      </c>
    </row>
    <row r="2231" spans="1:4" x14ac:dyDescent="0.35">
      <c r="A2231" t="s">
        <v>2361</v>
      </c>
      <c r="B2231">
        <v>1449</v>
      </c>
      <c r="C2231">
        <v>1365</v>
      </c>
      <c r="D2231">
        <v>181</v>
      </c>
    </row>
    <row r="2232" spans="1:4" x14ac:dyDescent="0.35">
      <c r="A2232" t="s">
        <v>2362</v>
      </c>
      <c r="B2232">
        <v>10000</v>
      </c>
      <c r="C2232">
        <v>9563</v>
      </c>
      <c r="D2232">
        <v>198</v>
      </c>
    </row>
    <row r="2233" spans="1:4" x14ac:dyDescent="0.35">
      <c r="A2233" t="s">
        <v>2363</v>
      </c>
      <c r="B2233">
        <v>4180</v>
      </c>
      <c r="C2233">
        <v>4162</v>
      </c>
      <c r="D2233">
        <v>7723</v>
      </c>
    </row>
    <row r="2234" spans="1:4" x14ac:dyDescent="0.35">
      <c r="A2234" t="s">
        <v>2364</v>
      </c>
      <c r="B2234">
        <v>1686368</v>
      </c>
      <c r="C2234">
        <v>1166959</v>
      </c>
      <c r="D2234">
        <v>1</v>
      </c>
    </row>
    <row r="2235" spans="1:4" x14ac:dyDescent="0.35">
      <c r="A2235" t="s">
        <v>2365</v>
      </c>
      <c r="B2235">
        <v>28</v>
      </c>
      <c r="C2235">
        <v>27</v>
      </c>
      <c r="D2235">
        <v>184155</v>
      </c>
    </row>
    <row r="2236" spans="1:4" x14ac:dyDescent="0.35">
      <c r="A2236" t="s">
        <v>2366</v>
      </c>
      <c r="B2236">
        <v>300</v>
      </c>
      <c r="C2236">
        <v>232</v>
      </c>
      <c r="D2236">
        <v>1090</v>
      </c>
    </row>
    <row r="2237" spans="1:4" x14ac:dyDescent="0.35">
      <c r="A2237" t="s">
        <v>55</v>
      </c>
      <c r="B2237">
        <v>53</v>
      </c>
      <c r="C2237">
        <v>50</v>
      </c>
      <c r="D2237">
        <v>25523</v>
      </c>
    </row>
    <row r="2238" spans="1:4" x14ac:dyDescent="0.35">
      <c r="A2238" t="s">
        <v>2367</v>
      </c>
      <c r="B2238">
        <v>739651</v>
      </c>
      <c r="C2238">
        <v>574000</v>
      </c>
      <c r="D2238">
        <v>0</v>
      </c>
    </row>
    <row r="2239" spans="1:4" x14ac:dyDescent="0.35">
      <c r="A2239" t="s">
        <v>2368</v>
      </c>
      <c r="B2239">
        <v>122</v>
      </c>
      <c r="C2239">
        <v>120</v>
      </c>
      <c r="D2239">
        <v>482046</v>
      </c>
    </row>
    <row r="2240" spans="1:4" x14ac:dyDescent="0.35">
      <c r="A2240" t="s">
        <v>2369</v>
      </c>
      <c r="B2240">
        <v>1450</v>
      </c>
      <c r="C2240">
        <v>1450</v>
      </c>
      <c r="D2240">
        <v>1420</v>
      </c>
    </row>
    <row r="2241" spans="1:4" x14ac:dyDescent="0.35">
      <c r="A2241" t="s">
        <v>2370</v>
      </c>
      <c r="B2241">
        <v>490</v>
      </c>
      <c r="C2241">
        <v>490</v>
      </c>
      <c r="D2241">
        <v>6757</v>
      </c>
    </row>
    <row r="2242" spans="1:4" x14ac:dyDescent="0.35">
      <c r="A2242" t="s">
        <v>2371</v>
      </c>
      <c r="B2242">
        <v>63595</v>
      </c>
      <c r="C2242">
        <v>57105</v>
      </c>
      <c r="D2242">
        <v>23</v>
      </c>
    </row>
    <row r="2243" spans="1:4" x14ac:dyDescent="0.35">
      <c r="A2243" t="s">
        <v>2372</v>
      </c>
      <c r="B2243">
        <v>40158</v>
      </c>
      <c r="C2243">
        <v>40158</v>
      </c>
      <c r="D2243">
        <v>13</v>
      </c>
    </row>
    <row r="2244" spans="1:4" x14ac:dyDescent="0.35">
      <c r="A2244" t="s">
        <v>2373</v>
      </c>
      <c r="B2244">
        <v>2596</v>
      </c>
      <c r="C2244">
        <v>282</v>
      </c>
      <c r="D2244">
        <v>0</v>
      </c>
    </row>
    <row r="2245" spans="1:4" x14ac:dyDescent="0.35">
      <c r="A2245" t="s">
        <v>2374</v>
      </c>
      <c r="B2245">
        <v>10000</v>
      </c>
      <c r="C2245">
        <v>10000</v>
      </c>
      <c r="D2245">
        <v>0</v>
      </c>
    </row>
    <row r="2246" spans="1:4" x14ac:dyDescent="0.35">
      <c r="A2246" t="s">
        <v>2375</v>
      </c>
      <c r="B2246">
        <v>3</v>
      </c>
      <c r="C2246">
        <v>6</v>
      </c>
      <c r="D2246">
        <v>19</v>
      </c>
    </row>
    <row r="2247" spans="1:4" x14ac:dyDescent="0.35">
      <c r="A2247" t="s">
        <v>2376</v>
      </c>
      <c r="B2247">
        <v>13</v>
      </c>
      <c r="C2247">
        <v>13</v>
      </c>
      <c r="D2247">
        <v>8</v>
      </c>
    </row>
    <row r="2248" spans="1:4" x14ac:dyDescent="0.35">
      <c r="A2248" t="s">
        <v>2377</v>
      </c>
      <c r="B2248">
        <v>2</v>
      </c>
      <c r="C2248">
        <v>6</v>
      </c>
      <c r="D2248">
        <v>17095</v>
      </c>
    </row>
    <row r="2249" spans="1:4" x14ac:dyDescent="0.35">
      <c r="A2249" t="s">
        <v>2378</v>
      </c>
      <c r="B2249">
        <v>236</v>
      </c>
      <c r="C2249">
        <v>228</v>
      </c>
      <c r="D2249">
        <v>3345</v>
      </c>
    </row>
    <row r="2250" spans="1:4" x14ac:dyDescent="0.35">
      <c r="A2250" t="s">
        <v>2379</v>
      </c>
      <c r="B2250">
        <v>1</v>
      </c>
      <c r="C2250">
        <v>2</v>
      </c>
      <c r="D2250">
        <v>438</v>
      </c>
    </row>
    <row r="2251" spans="1:4" x14ac:dyDescent="0.35">
      <c r="A2251" t="s">
        <v>2380</v>
      </c>
      <c r="B2251">
        <v>78145</v>
      </c>
      <c r="C2251">
        <v>81268</v>
      </c>
      <c r="D2251">
        <v>1</v>
      </c>
    </row>
    <row r="2252" spans="1:4" x14ac:dyDescent="0.35">
      <c r="A2252" t="s">
        <v>2381</v>
      </c>
      <c r="B2252">
        <v>97</v>
      </c>
      <c r="C2252">
        <v>31</v>
      </c>
      <c r="D2252">
        <v>268</v>
      </c>
    </row>
    <row r="2253" spans="1:4" x14ac:dyDescent="0.35">
      <c r="A2253" t="s">
        <v>2382</v>
      </c>
      <c r="B2253">
        <v>15</v>
      </c>
      <c r="C2253">
        <v>14</v>
      </c>
      <c r="D2253">
        <v>1089</v>
      </c>
    </row>
    <row r="2254" spans="1:4" x14ac:dyDescent="0.35">
      <c r="A2254" t="s">
        <v>2383</v>
      </c>
      <c r="B2254">
        <v>11363</v>
      </c>
      <c r="C2254">
        <v>7950</v>
      </c>
      <c r="D2254">
        <v>0</v>
      </c>
    </row>
    <row r="2255" spans="1:4" x14ac:dyDescent="0.35">
      <c r="A2255" t="s">
        <v>2384</v>
      </c>
      <c r="B2255">
        <v>30</v>
      </c>
      <c r="C2255">
        <v>10</v>
      </c>
      <c r="D2255">
        <v>285</v>
      </c>
    </row>
    <row r="2256" spans="1:4" x14ac:dyDescent="0.35">
      <c r="A2256" t="s">
        <v>2385</v>
      </c>
      <c r="B2256">
        <v>1</v>
      </c>
      <c r="C2256">
        <v>3</v>
      </c>
      <c r="D2256">
        <v>209</v>
      </c>
    </row>
    <row r="2257" spans="1:4" x14ac:dyDescent="0.35">
      <c r="A2257" t="s">
        <v>2386</v>
      </c>
      <c r="B2257">
        <v>11</v>
      </c>
      <c r="C2257">
        <v>10</v>
      </c>
      <c r="D2257">
        <v>459</v>
      </c>
    </row>
    <row r="2258" spans="1:4" x14ac:dyDescent="0.35">
      <c r="A2258" t="s">
        <v>2387</v>
      </c>
      <c r="B2258">
        <v>46</v>
      </c>
      <c r="C2258">
        <v>46</v>
      </c>
      <c r="D2258">
        <v>7492</v>
      </c>
    </row>
    <row r="2259" spans="1:4" x14ac:dyDescent="0.35">
      <c r="A2259" t="s">
        <v>2388</v>
      </c>
      <c r="B2259">
        <v>5000</v>
      </c>
      <c r="C2259">
        <v>2750</v>
      </c>
      <c r="D2259">
        <v>0</v>
      </c>
    </row>
    <row r="2260" spans="1:4" x14ac:dyDescent="0.35">
      <c r="A2260" t="s">
        <v>2389</v>
      </c>
      <c r="B2260">
        <v>100</v>
      </c>
      <c r="C2260">
        <v>90</v>
      </c>
      <c r="D2260">
        <v>40</v>
      </c>
    </row>
    <row r="2261" spans="1:4" x14ac:dyDescent="0.35">
      <c r="A2261" t="s">
        <v>2390</v>
      </c>
      <c r="B2261">
        <v>108</v>
      </c>
      <c r="C2261">
        <v>220</v>
      </c>
      <c r="D2261">
        <v>0</v>
      </c>
    </row>
    <row r="2262" spans="1:4" x14ac:dyDescent="0.35">
      <c r="A2262" t="s">
        <v>2391</v>
      </c>
      <c r="B2262">
        <v>258</v>
      </c>
      <c r="C2262">
        <v>134</v>
      </c>
      <c r="D2262">
        <v>0</v>
      </c>
    </row>
    <row r="2263" spans="1:4" x14ac:dyDescent="0.35">
      <c r="A2263" t="s">
        <v>2392</v>
      </c>
      <c r="B2263">
        <v>4200</v>
      </c>
      <c r="C2263">
        <v>2014</v>
      </c>
      <c r="D2263">
        <v>1</v>
      </c>
    </row>
    <row r="2264" spans="1:4" x14ac:dyDescent="0.35">
      <c r="A2264" t="s">
        <v>2393</v>
      </c>
      <c r="B2264">
        <v>71222</v>
      </c>
      <c r="C2264">
        <v>8912</v>
      </c>
      <c r="D2264">
        <v>3</v>
      </c>
    </row>
    <row r="2265" spans="1:4" x14ac:dyDescent="0.35">
      <c r="A2265" t="s">
        <v>2394</v>
      </c>
      <c r="B2265">
        <v>789062</v>
      </c>
      <c r="C2265">
        <v>750601</v>
      </c>
      <c r="D2265">
        <v>9</v>
      </c>
    </row>
    <row r="2266" spans="1:4" x14ac:dyDescent="0.35">
      <c r="A2266" t="s">
        <v>2395</v>
      </c>
      <c r="B2266">
        <v>168857</v>
      </c>
      <c r="C2266">
        <v>100257</v>
      </c>
      <c r="D2266">
        <v>2</v>
      </c>
    </row>
    <row r="2267" spans="1:4" x14ac:dyDescent="0.35">
      <c r="A2267" t="s">
        <v>2396</v>
      </c>
      <c r="B2267">
        <v>29069</v>
      </c>
      <c r="C2267">
        <v>29003</v>
      </c>
      <c r="D2267">
        <v>6</v>
      </c>
    </row>
    <row r="2268" spans="1:4" x14ac:dyDescent="0.35">
      <c r="A2268" t="s">
        <v>2397</v>
      </c>
      <c r="B2268">
        <v>6477</v>
      </c>
      <c r="C2268">
        <v>6300</v>
      </c>
      <c r="D2268">
        <v>1</v>
      </c>
    </row>
    <row r="2269" spans="1:4" x14ac:dyDescent="0.35">
      <c r="A2269" t="s">
        <v>2398</v>
      </c>
      <c r="B2269">
        <v>806</v>
      </c>
      <c r="C2269">
        <v>644</v>
      </c>
      <c r="D2269">
        <v>10</v>
      </c>
    </row>
    <row r="2270" spans="1:4" x14ac:dyDescent="0.35">
      <c r="A2270" t="s">
        <v>2399</v>
      </c>
      <c r="B2270">
        <v>264356</v>
      </c>
      <c r="C2270">
        <v>219085</v>
      </c>
      <c r="D2270">
        <v>1</v>
      </c>
    </row>
    <row r="2271" spans="1:4" x14ac:dyDescent="0.35">
      <c r="A2271" t="s">
        <v>2400</v>
      </c>
      <c r="B2271">
        <v>255120</v>
      </c>
      <c r="C2271">
        <v>181000</v>
      </c>
      <c r="D2271">
        <v>1</v>
      </c>
    </row>
    <row r="2272" spans="1:4" x14ac:dyDescent="0.35">
      <c r="A2272" t="s">
        <v>2401</v>
      </c>
      <c r="B2272">
        <v>1898485</v>
      </c>
      <c r="C2272">
        <v>1642806</v>
      </c>
      <c r="D2272">
        <v>1</v>
      </c>
    </row>
    <row r="2273" spans="1:4" x14ac:dyDescent="0.35">
      <c r="A2273" t="s">
        <v>2402</v>
      </c>
      <c r="B2273">
        <v>728441</v>
      </c>
      <c r="C2273">
        <v>512536</v>
      </c>
      <c r="D2273">
        <v>1</v>
      </c>
    </row>
    <row r="2274" spans="1:4" x14ac:dyDescent="0.35">
      <c r="A2274" t="s">
        <v>2403</v>
      </c>
      <c r="B2274">
        <v>5326358</v>
      </c>
      <c r="C2274">
        <v>5174031</v>
      </c>
      <c r="D2274">
        <v>78</v>
      </c>
    </row>
    <row r="2275" spans="1:4" x14ac:dyDescent="0.35">
      <c r="A2275" t="s">
        <v>150</v>
      </c>
      <c r="B2275">
        <v>1725</v>
      </c>
      <c r="C2275">
        <v>1703</v>
      </c>
      <c r="D2275">
        <v>921</v>
      </c>
    </row>
    <row r="2276" spans="1:4" x14ac:dyDescent="0.35">
      <c r="A2276" t="s">
        <v>2404</v>
      </c>
      <c r="B2276">
        <v>130</v>
      </c>
      <c r="C2276">
        <v>75</v>
      </c>
      <c r="D2276">
        <v>210</v>
      </c>
    </row>
    <row r="2277" spans="1:4" x14ac:dyDescent="0.35">
      <c r="A2277" t="s">
        <v>2405</v>
      </c>
      <c r="B2277">
        <v>186</v>
      </c>
      <c r="C2277">
        <v>186</v>
      </c>
      <c r="D2277">
        <v>0</v>
      </c>
    </row>
    <row r="2278" spans="1:4" x14ac:dyDescent="0.35">
      <c r="A2278" t="s">
        <v>2406</v>
      </c>
      <c r="B2278">
        <v>96</v>
      </c>
      <c r="C2278">
        <v>50</v>
      </c>
      <c r="D2278">
        <v>0</v>
      </c>
    </row>
    <row r="2279" spans="1:4" x14ac:dyDescent="0.35">
      <c r="A2279" t="s">
        <v>2407</v>
      </c>
      <c r="B2279">
        <v>179</v>
      </c>
      <c r="C2279">
        <v>179</v>
      </c>
      <c r="D2279">
        <v>173</v>
      </c>
    </row>
    <row r="2280" spans="1:4" x14ac:dyDescent="0.35">
      <c r="A2280" t="s">
        <v>2408</v>
      </c>
      <c r="B2280">
        <v>225</v>
      </c>
      <c r="C2280">
        <v>261</v>
      </c>
      <c r="D2280">
        <v>622</v>
      </c>
    </row>
    <row r="2281" spans="1:4" x14ac:dyDescent="0.35">
      <c r="A2281" t="s">
        <v>106</v>
      </c>
      <c r="B2281">
        <v>292</v>
      </c>
      <c r="C2281">
        <v>292</v>
      </c>
      <c r="D2281">
        <v>28444</v>
      </c>
    </row>
    <row r="2282" spans="1:4" x14ac:dyDescent="0.35">
      <c r="A2282" t="s">
        <v>2409</v>
      </c>
      <c r="B2282">
        <v>17</v>
      </c>
      <c r="C2282">
        <v>12</v>
      </c>
      <c r="D2282">
        <v>4220</v>
      </c>
    </row>
    <row r="2283" spans="1:4" x14ac:dyDescent="0.35">
      <c r="A2283" t="s">
        <v>2410</v>
      </c>
      <c r="B2283">
        <v>2410</v>
      </c>
      <c r="C2283">
        <v>1483</v>
      </c>
      <c r="D2283">
        <v>0</v>
      </c>
    </row>
    <row r="2284" spans="1:4" x14ac:dyDescent="0.35">
      <c r="A2284" t="s">
        <v>2411</v>
      </c>
      <c r="B2284">
        <v>55</v>
      </c>
      <c r="C2284">
        <v>63</v>
      </c>
      <c r="D2284">
        <v>0</v>
      </c>
    </row>
    <row r="2285" spans="1:4" x14ac:dyDescent="0.35">
      <c r="A2285" t="s">
        <v>2412</v>
      </c>
      <c r="B2285">
        <v>286</v>
      </c>
      <c r="C2285">
        <v>275</v>
      </c>
      <c r="D2285">
        <v>0</v>
      </c>
    </row>
    <row r="2286" spans="1:4" x14ac:dyDescent="0.35">
      <c r="A2286" t="s">
        <v>2413</v>
      </c>
      <c r="B2286">
        <v>12</v>
      </c>
      <c r="C2286">
        <v>12</v>
      </c>
      <c r="D2286">
        <v>87400</v>
      </c>
    </row>
    <row r="2287" spans="1:4" x14ac:dyDescent="0.35">
      <c r="A2287" t="s">
        <v>2414</v>
      </c>
      <c r="B2287">
        <v>170</v>
      </c>
      <c r="C2287">
        <v>165</v>
      </c>
      <c r="D2287">
        <v>28</v>
      </c>
    </row>
    <row r="2288" spans="1:4" x14ac:dyDescent="0.35">
      <c r="A2288" t="s">
        <v>2415</v>
      </c>
      <c r="B2288">
        <v>150</v>
      </c>
      <c r="C2288">
        <v>150</v>
      </c>
      <c r="D2288">
        <v>21117</v>
      </c>
    </row>
    <row r="2289" spans="1:4" x14ac:dyDescent="0.35">
      <c r="A2289" t="s">
        <v>2416</v>
      </c>
      <c r="B2289">
        <v>180</v>
      </c>
      <c r="C2289">
        <v>179</v>
      </c>
      <c r="D2289">
        <v>55</v>
      </c>
    </row>
    <row r="2290" spans="1:4" x14ac:dyDescent="0.35">
      <c r="A2290" t="s">
        <v>2417</v>
      </c>
      <c r="B2290">
        <v>309</v>
      </c>
      <c r="C2290">
        <v>290</v>
      </c>
      <c r="D2290">
        <v>1531</v>
      </c>
    </row>
    <row r="2291" spans="1:4" x14ac:dyDescent="0.35">
      <c r="A2291" t="s">
        <v>2418</v>
      </c>
      <c r="B2291">
        <v>3989</v>
      </c>
      <c r="C2291">
        <v>100</v>
      </c>
      <c r="D2291">
        <v>0</v>
      </c>
    </row>
    <row r="2292" spans="1:4" x14ac:dyDescent="0.35">
      <c r="A2292" t="s">
        <v>2419</v>
      </c>
      <c r="B2292">
        <v>966499</v>
      </c>
      <c r="C2292">
        <v>761032</v>
      </c>
      <c r="D2292">
        <v>0</v>
      </c>
    </row>
    <row r="2293" spans="1:4" x14ac:dyDescent="0.35">
      <c r="A2293" t="s">
        <v>2420</v>
      </c>
      <c r="B2293">
        <v>25</v>
      </c>
      <c r="C2293">
        <v>24</v>
      </c>
      <c r="D2293">
        <v>30524</v>
      </c>
    </row>
    <row r="2294" spans="1:4" x14ac:dyDescent="0.35">
      <c r="A2294" t="s">
        <v>2421</v>
      </c>
      <c r="B2294">
        <v>15</v>
      </c>
      <c r="C2294">
        <v>15</v>
      </c>
      <c r="D2294">
        <v>16</v>
      </c>
    </row>
    <row r="2295" spans="1:4" x14ac:dyDescent="0.35">
      <c r="A2295" t="s">
        <v>2422</v>
      </c>
      <c r="B2295">
        <v>140</v>
      </c>
      <c r="C2295">
        <v>140</v>
      </c>
      <c r="D2295">
        <v>19</v>
      </c>
    </row>
    <row r="2296" spans="1:4" x14ac:dyDescent="0.35">
      <c r="A2296" t="s">
        <v>2423</v>
      </c>
      <c r="B2296">
        <v>12</v>
      </c>
      <c r="C2296">
        <v>11</v>
      </c>
      <c r="D2296">
        <v>20</v>
      </c>
    </row>
    <row r="2297" spans="1:4" x14ac:dyDescent="0.35">
      <c r="A2297" t="s">
        <v>2424</v>
      </c>
      <c r="B2297">
        <v>5</v>
      </c>
      <c r="C2297">
        <v>5</v>
      </c>
      <c r="D2297">
        <v>74</v>
      </c>
    </row>
    <row r="2298" spans="1:4" x14ac:dyDescent="0.35">
      <c r="A2298" t="s">
        <v>2425</v>
      </c>
      <c r="B2298">
        <v>11434</v>
      </c>
      <c r="C2298">
        <v>11300</v>
      </c>
      <c r="D2298">
        <v>320</v>
      </c>
    </row>
    <row r="2299" spans="1:4" x14ac:dyDescent="0.35">
      <c r="A2299" t="s">
        <v>2426</v>
      </c>
      <c r="B2299">
        <v>54115</v>
      </c>
      <c r="C2299">
        <v>52500</v>
      </c>
      <c r="D2299">
        <v>69</v>
      </c>
    </row>
    <row r="2300" spans="1:4" x14ac:dyDescent="0.35">
      <c r="A2300" t="s">
        <v>2427</v>
      </c>
      <c r="B2300">
        <v>1568</v>
      </c>
      <c r="C2300">
        <v>1500</v>
      </c>
      <c r="D2300">
        <v>0</v>
      </c>
    </row>
    <row r="2301" spans="1:4" x14ac:dyDescent="0.35">
      <c r="A2301" t="s">
        <v>2428</v>
      </c>
      <c r="B2301">
        <v>2010</v>
      </c>
      <c r="C2301">
        <v>2002</v>
      </c>
      <c r="D2301">
        <v>1</v>
      </c>
    </row>
    <row r="2302" spans="1:4" x14ac:dyDescent="0.35">
      <c r="A2302" t="s">
        <v>2429</v>
      </c>
      <c r="B2302">
        <v>45000</v>
      </c>
      <c r="C2302">
        <v>7501</v>
      </c>
      <c r="D2302">
        <v>1</v>
      </c>
    </row>
    <row r="2303" spans="1:4" x14ac:dyDescent="0.35">
      <c r="A2303" t="s">
        <v>2430</v>
      </c>
      <c r="B2303">
        <v>6500</v>
      </c>
      <c r="C2303">
        <v>6050</v>
      </c>
      <c r="D2303">
        <v>604</v>
      </c>
    </row>
    <row r="2304" spans="1:4" x14ac:dyDescent="0.35">
      <c r="A2304" t="s">
        <v>2431</v>
      </c>
      <c r="B2304">
        <v>737</v>
      </c>
      <c r="C2304">
        <v>737</v>
      </c>
      <c r="D2304">
        <v>4814</v>
      </c>
    </row>
    <row r="2305" spans="1:4" x14ac:dyDescent="0.35">
      <c r="A2305" t="s">
        <v>2432</v>
      </c>
      <c r="B2305">
        <v>2943</v>
      </c>
      <c r="C2305">
        <v>2882</v>
      </c>
      <c r="D2305">
        <v>173</v>
      </c>
    </row>
    <row r="2306" spans="1:4" x14ac:dyDescent="0.35">
      <c r="A2306" t="s">
        <v>2433</v>
      </c>
      <c r="B2306">
        <v>100000</v>
      </c>
      <c r="C2306">
        <v>71403</v>
      </c>
      <c r="D2306">
        <v>0</v>
      </c>
    </row>
    <row r="2307" spans="1:4" x14ac:dyDescent="0.35">
      <c r="A2307" t="s">
        <v>2434</v>
      </c>
      <c r="B2307">
        <v>813</v>
      </c>
      <c r="C2307">
        <v>600</v>
      </c>
      <c r="D2307">
        <v>8</v>
      </c>
    </row>
    <row r="2308" spans="1:4" x14ac:dyDescent="0.35">
      <c r="A2308" t="s">
        <v>2435</v>
      </c>
      <c r="B2308">
        <v>32</v>
      </c>
      <c r="C2308">
        <v>32</v>
      </c>
      <c r="D2308">
        <v>73</v>
      </c>
    </row>
    <row r="2309" spans="1:4" x14ac:dyDescent="0.35">
      <c r="A2309" t="s">
        <v>2436</v>
      </c>
      <c r="B2309">
        <v>2567613</v>
      </c>
      <c r="C2309">
        <v>3398998</v>
      </c>
      <c r="D2309">
        <v>32</v>
      </c>
    </row>
    <row r="2310" spans="1:4" x14ac:dyDescent="0.35">
      <c r="A2310" t="s">
        <v>2437</v>
      </c>
      <c r="B2310">
        <v>2439</v>
      </c>
      <c r="C2310">
        <v>2439</v>
      </c>
      <c r="D2310">
        <v>449</v>
      </c>
    </row>
    <row r="2311" spans="1:4" x14ac:dyDescent="0.35">
      <c r="A2311" t="s">
        <v>2438</v>
      </c>
      <c r="B2311">
        <v>353</v>
      </c>
      <c r="C2311">
        <v>543</v>
      </c>
      <c r="D2311">
        <v>0</v>
      </c>
    </row>
    <row r="2312" spans="1:4" x14ac:dyDescent="0.35">
      <c r="A2312" t="s">
        <v>2439</v>
      </c>
      <c r="B2312">
        <v>1049999</v>
      </c>
      <c r="C2312">
        <v>900000</v>
      </c>
      <c r="D2312">
        <v>0</v>
      </c>
    </row>
    <row r="2313" spans="1:4" x14ac:dyDescent="0.35">
      <c r="A2313" t="s">
        <v>2440</v>
      </c>
      <c r="B2313">
        <v>1581</v>
      </c>
      <c r="C2313">
        <v>1738</v>
      </c>
      <c r="D2313">
        <v>7</v>
      </c>
    </row>
    <row r="2314" spans="1:4" x14ac:dyDescent="0.35">
      <c r="A2314" t="s">
        <v>2441</v>
      </c>
      <c r="B2314">
        <v>460</v>
      </c>
      <c r="C2314">
        <v>904</v>
      </c>
      <c r="D2314">
        <v>0</v>
      </c>
    </row>
    <row r="2315" spans="1:4" x14ac:dyDescent="0.35">
      <c r="A2315" t="s">
        <v>2442</v>
      </c>
      <c r="B2315">
        <v>2527</v>
      </c>
      <c r="C2315">
        <v>2527</v>
      </c>
      <c r="D2315">
        <v>0</v>
      </c>
    </row>
    <row r="2316" spans="1:4" x14ac:dyDescent="0.35">
      <c r="A2316" t="s">
        <v>2443</v>
      </c>
      <c r="B2316">
        <v>3726363</v>
      </c>
      <c r="C2316">
        <v>3650000</v>
      </c>
      <c r="D2316">
        <v>12</v>
      </c>
    </row>
    <row r="2317" spans="1:4" x14ac:dyDescent="0.35">
      <c r="A2317" t="s">
        <v>2444</v>
      </c>
      <c r="B2317">
        <v>526</v>
      </c>
      <c r="C2317">
        <v>526</v>
      </c>
      <c r="D2317">
        <v>14288</v>
      </c>
    </row>
    <row r="2318" spans="1:4" x14ac:dyDescent="0.35">
      <c r="A2318" t="s">
        <v>2445</v>
      </c>
      <c r="B2318">
        <v>993</v>
      </c>
      <c r="C2318">
        <v>984</v>
      </c>
      <c r="D2318">
        <v>120478</v>
      </c>
    </row>
    <row r="2319" spans="1:4" x14ac:dyDescent="0.35">
      <c r="A2319" t="s">
        <v>2446</v>
      </c>
      <c r="B2319">
        <v>1203</v>
      </c>
      <c r="C2319">
        <v>1201</v>
      </c>
      <c r="D2319">
        <v>68154</v>
      </c>
    </row>
    <row r="2320" spans="1:4" x14ac:dyDescent="0.35">
      <c r="A2320" t="s">
        <v>2447</v>
      </c>
      <c r="B2320">
        <v>999</v>
      </c>
      <c r="C2320">
        <v>991</v>
      </c>
      <c r="D2320">
        <v>20663</v>
      </c>
    </row>
    <row r="2321" spans="1:4" x14ac:dyDescent="0.35">
      <c r="A2321" t="s">
        <v>2448</v>
      </c>
      <c r="B2321">
        <v>61</v>
      </c>
      <c r="C2321">
        <v>3</v>
      </c>
      <c r="D2321">
        <v>0</v>
      </c>
    </row>
    <row r="2322" spans="1:4" x14ac:dyDescent="0.35">
      <c r="A2322" t="s">
        <v>2449</v>
      </c>
      <c r="B2322">
        <v>103</v>
      </c>
      <c r="C2322">
        <v>103</v>
      </c>
      <c r="D2322">
        <v>0</v>
      </c>
    </row>
    <row r="2323" spans="1:4" x14ac:dyDescent="0.35">
      <c r="A2323" t="s">
        <v>2450</v>
      </c>
      <c r="B2323">
        <v>38</v>
      </c>
      <c r="C2323">
        <v>33</v>
      </c>
      <c r="D2323">
        <v>2</v>
      </c>
    </row>
    <row r="2324" spans="1:4" x14ac:dyDescent="0.35">
      <c r="A2324" t="s">
        <v>2451</v>
      </c>
      <c r="B2324">
        <v>57</v>
      </c>
      <c r="C2324">
        <v>72</v>
      </c>
      <c r="D2324">
        <v>3</v>
      </c>
    </row>
    <row r="2325" spans="1:4" x14ac:dyDescent="0.35">
      <c r="A2325" t="s">
        <v>185</v>
      </c>
      <c r="B2325">
        <v>152</v>
      </c>
      <c r="C2325">
        <v>115</v>
      </c>
      <c r="D2325">
        <v>550</v>
      </c>
    </row>
    <row r="2326" spans="1:4" x14ac:dyDescent="0.35">
      <c r="A2326" t="s">
        <v>188</v>
      </c>
      <c r="B2326">
        <v>206</v>
      </c>
      <c r="C2326">
        <v>200</v>
      </c>
      <c r="D2326">
        <v>1993</v>
      </c>
    </row>
    <row r="2327" spans="1:4" x14ac:dyDescent="0.35">
      <c r="A2327" t="s">
        <v>2452</v>
      </c>
      <c r="B2327">
        <v>4543</v>
      </c>
      <c r="C2327">
        <v>4789</v>
      </c>
      <c r="D2327">
        <v>28</v>
      </c>
    </row>
    <row r="2328" spans="1:4" x14ac:dyDescent="0.35">
      <c r="A2328" t="s">
        <v>133</v>
      </c>
      <c r="B2328">
        <v>2928</v>
      </c>
      <c r="C2328">
        <v>2928</v>
      </c>
      <c r="D2328">
        <v>199</v>
      </c>
    </row>
    <row r="2329" spans="1:4" x14ac:dyDescent="0.35">
      <c r="A2329" t="s">
        <v>2453</v>
      </c>
      <c r="B2329">
        <v>107989</v>
      </c>
      <c r="C2329">
        <v>105772</v>
      </c>
      <c r="D2329">
        <v>1159</v>
      </c>
    </row>
    <row r="2330" spans="1:4" x14ac:dyDescent="0.35">
      <c r="A2330" t="s">
        <v>2454</v>
      </c>
      <c r="B2330">
        <v>102999</v>
      </c>
      <c r="C2330">
        <v>103006</v>
      </c>
      <c r="D2330">
        <v>944</v>
      </c>
    </row>
    <row r="2331" spans="1:4" x14ac:dyDescent="0.35">
      <c r="A2331" t="s">
        <v>2455</v>
      </c>
      <c r="B2331">
        <v>578</v>
      </c>
      <c r="C2331">
        <v>542</v>
      </c>
      <c r="D2331">
        <v>0</v>
      </c>
    </row>
    <row r="2332" spans="1:4" x14ac:dyDescent="0.35">
      <c r="A2332" t="s">
        <v>2456</v>
      </c>
      <c r="B2332">
        <v>795</v>
      </c>
      <c r="C2332">
        <v>760</v>
      </c>
      <c r="D2332">
        <v>12450</v>
      </c>
    </row>
    <row r="2333" spans="1:4" x14ac:dyDescent="0.35">
      <c r="A2333" t="s">
        <v>2457</v>
      </c>
      <c r="B2333">
        <v>752</v>
      </c>
      <c r="C2333">
        <v>731</v>
      </c>
      <c r="D2333">
        <v>83</v>
      </c>
    </row>
    <row r="2334" spans="1:4" x14ac:dyDescent="0.35">
      <c r="A2334" t="s">
        <v>2458</v>
      </c>
      <c r="B2334">
        <v>38010</v>
      </c>
      <c r="C2334">
        <v>34810</v>
      </c>
      <c r="D2334">
        <v>179</v>
      </c>
    </row>
    <row r="2335" spans="1:4" x14ac:dyDescent="0.35">
      <c r="A2335" t="s">
        <v>2459</v>
      </c>
      <c r="B2335">
        <v>178</v>
      </c>
      <c r="C2335">
        <v>222</v>
      </c>
      <c r="D2335">
        <v>29</v>
      </c>
    </row>
    <row r="2336" spans="1:4" x14ac:dyDescent="0.35">
      <c r="A2336" t="s">
        <v>2460</v>
      </c>
      <c r="B2336">
        <v>1025</v>
      </c>
      <c r="C2336">
        <v>1025</v>
      </c>
      <c r="D2336">
        <v>20</v>
      </c>
    </row>
    <row r="2337" spans="1:4" x14ac:dyDescent="0.35">
      <c r="A2337" t="s">
        <v>2461</v>
      </c>
      <c r="B2337">
        <v>1001879</v>
      </c>
      <c r="C2337">
        <v>981005</v>
      </c>
      <c r="D2337">
        <v>63</v>
      </c>
    </row>
    <row r="2338" spans="1:4" x14ac:dyDescent="0.35">
      <c r="A2338" t="s">
        <v>2462</v>
      </c>
      <c r="B2338">
        <v>984</v>
      </c>
      <c r="C2338">
        <v>200</v>
      </c>
      <c r="D2338">
        <v>0</v>
      </c>
    </row>
    <row r="2339" spans="1:4" x14ac:dyDescent="0.35">
      <c r="A2339" t="s">
        <v>2463</v>
      </c>
      <c r="B2339">
        <v>21100</v>
      </c>
      <c r="C2339">
        <v>20750</v>
      </c>
      <c r="D2339">
        <v>3836</v>
      </c>
    </row>
    <row r="2340" spans="1:4" x14ac:dyDescent="0.35">
      <c r="A2340" t="s">
        <v>2464</v>
      </c>
      <c r="B2340">
        <v>34920301</v>
      </c>
      <c r="C2340">
        <v>33674122</v>
      </c>
      <c r="D2340">
        <v>14</v>
      </c>
    </row>
    <row r="2341" spans="1:4" x14ac:dyDescent="0.35">
      <c r="A2341" t="s">
        <v>2465</v>
      </c>
      <c r="B2341">
        <v>158</v>
      </c>
      <c r="C2341">
        <v>158</v>
      </c>
      <c r="D2341">
        <v>0</v>
      </c>
    </row>
    <row r="2342" spans="1:4" x14ac:dyDescent="0.35">
      <c r="A2342" t="s">
        <v>2466</v>
      </c>
      <c r="B2342">
        <v>50000</v>
      </c>
      <c r="C2342">
        <v>50000</v>
      </c>
      <c r="D2342">
        <v>0</v>
      </c>
    </row>
    <row r="2343" spans="1:4" x14ac:dyDescent="0.35">
      <c r="A2343" t="s">
        <v>2467</v>
      </c>
      <c r="B2343">
        <v>64</v>
      </c>
      <c r="C2343">
        <v>133</v>
      </c>
      <c r="D2343">
        <v>0</v>
      </c>
    </row>
    <row r="2344" spans="1:4" x14ac:dyDescent="0.35">
      <c r="A2344" t="s">
        <v>2468</v>
      </c>
      <c r="B2344">
        <v>1920</v>
      </c>
      <c r="C2344">
        <v>1419</v>
      </c>
      <c r="D2344">
        <v>337</v>
      </c>
    </row>
    <row r="2345" spans="1:4" x14ac:dyDescent="0.35">
      <c r="A2345" t="s">
        <v>2469</v>
      </c>
      <c r="B2345">
        <v>998</v>
      </c>
      <c r="C2345">
        <v>250</v>
      </c>
      <c r="D2345">
        <v>0</v>
      </c>
    </row>
    <row r="2346" spans="1:4" x14ac:dyDescent="0.35">
      <c r="A2346" t="s">
        <v>2470</v>
      </c>
      <c r="B2346">
        <v>1424</v>
      </c>
      <c r="C2346">
        <v>13990</v>
      </c>
      <c r="D2346">
        <v>0</v>
      </c>
    </row>
    <row r="2347" spans="1:4" x14ac:dyDescent="0.35">
      <c r="A2347" t="s">
        <v>2471</v>
      </c>
      <c r="B2347">
        <v>1158</v>
      </c>
      <c r="C2347">
        <v>2091</v>
      </c>
      <c r="D2347">
        <v>0</v>
      </c>
    </row>
    <row r="2348" spans="1:4" x14ac:dyDescent="0.35">
      <c r="A2348" t="s">
        <v>2472</v>
      </c>
      <c r="B2348">
        <v>750</v>
      </c>
      <c r="C2348">
        <v>5000</v>
      </c>
      <c r="D2348">
        <v>0</v>
      </c>
    </row>
    <row r="2349" spans="1:4" x14ac:dyDescent="0.35">
      <c r="A2349" t="s">
        <v>2473</v>
      </c>
      <c r="B2349">
        <v>2129</v>
      </c>
      <c r="C2349">
        <v>2000</v>
      </c>
      <c r="D2349">
        <v>480</v>
      </c>
    </row>
    <row r="2350" spans="1:4" x14ac:dyDescent="0.35">
      <c r="A2350" t="s">
        <v>2474</v>
      </c>
      <c r="B2350">
        <v>252</v>
      </c>
      <c r="C2350">
        <v>244</v>
      </c>
      <c r="D2350">
        <v>163865</v>
      </c>
    </row>
    <row r="2351" spans="1:4" x14ac:dyDescent="0.35">
      <c r="A2351" t="s">
        <v>2475</v>
      </c>
      <c r="B2351">
        <v>1</v>
      </c>
      <c r="C2351">
        <v>2000</v>
      </c>
      <c r="D2351">
        <v>1</v>
      </c>
    </row>
    <row r="2352" spans="1:4" x14ac:dyDescent="0.35">
      <c r="A2352" t="s">
        <v>2476</v>
      </c>
      <c r="B2352">
        <v>2049</v>
      </c>
      <c r="C2352">
        <v>2044</v>
      </c>
      <c r="D2352">
        <v>87146</v>
      </c>
    </row>
    <row r="2353" spans="1:4" x14ac:dyDescent="0.35">
      <c r="A2353" t="s">
        <v>2477</v>
      </c>
      <c r="B2353">
        <v>3346</v>
      </c>
      <c r="C2353">
        <v>3085</v>
      </c>
      <c r="D2353">
        <v>11</v>
      </c>
    </row>
    <row r="2354" spans="1:4" x14ac:dyDescent="0.35">
      <c r="A2354" t="s">
        <v>2478</v>
      </c>
      <c r="B2354">
        <v>1199</v>
      </c>
      <c r="C2354">
        <v>1178</v>
      </c>
      <c r="D2354">
        <v>19230</v>
      </c>
    </row>
    <row r="2355" spans="1:4" x14ac:dyDescent="0.35">
      <c r="A2355" t="s">
        <v>2479</v>
      </c>
      <c r="B2355">
        <v>1000</v>
      </c>
      <c r="C2355">
        <v>980</v>
      </c>
      <c r="D2355">
        <v>1013</v>
      </c>
    </row>
    <row r="2356" spans="1:4" x14ac:dyDescent="0.35">
      <c r="A2356" t="s">
        <v>2480</v>
      </c>
      <c r="B2356">
        <v>479</v>
      </c>
      <c r="C2356">
        <v>453</v>
      </c>
      <c r="D2356">
        <v>340</v>
      </c>
    </row>
    <row r="2357" spans="1:4" x14ac:dyDescent="0.35">
      <c r="A2357" t="s">
        <v>2481</v>
      </c>
      <c r="B2357">
        <v>1</v>
      </c>
      <c r="C2357">
        <v>1</v>
      </c>
      <c r="D2357">
        <v>438</v>
      </c>
    </row>
    <row r="2358" spans="1:4" x14ac:dyDescent="0.35">
      <c r="A2358" t="s">
        <v>2482</v>
      </c>
      <c r="B2358">
        <v>3</v>
      </c>
      <c r="C2358">
        <v>3</v>
      </c>
      <c r="D2358">
        <v>0</v>
      </c>
    </row>
    <row r="2359" spans="1:4" x14ac:dyDescent="0.35">
      <c r="A2359" t="s">
        <v>2483</v>
      </c>
      <c r="B2359">
        <v>4968</v>
      </c>
      <c r="C2359">
        <v>2816</v>
      </c>
      <c r="D2359">
        <v>0</v>
      </c>
    </row>
    <row r="2360" spans="1:4" x14ac:dyDescent="0.35">
      <c r="A2360" t="s">
        <v>2484</v>
      </c>
      <c r="B2360">
        <v>781</v>
      </c>
      <c r="C2360">
        <v>1297</v>
      </c>
      <c r="D2360">
        <v>0</v>
      </c>
    </row>
    <row r="2361" spans="1:4" x14ac:dyDescent="0.35">
      <c r="A2361" t="s">
        <v>2485</v>
      </c>
      <c r="B2361">
        <v>765000</v>
      </c>
      <c r="C2361">
        <v>820100</v>
      </c>
      <c r="D2361">
        <v>4</v>
      </c>
    </row>
    <row r="2362" spans="1:4" x14ac:dyDescent="0.35">
      <c r="A2362" t="s">
        <v>2486</v>
      </c>
      <c r="B2362">
        <v>650000</v>
      </c>
      <c r="C2362">
        <v>625100</v>
      </c>
      <c r="D2362">
        <v>3</v>
      </c>
    </row>
    <row r="2363" spans="1:4" x14ac:dyDescent="0.35">
      <c r="A2363" t="s">
        <v>2487</v>
      </c>
      <c r="B2363">
        <v>231665</v>
      </c>
      <c r="C2363">
        <v>255100</v>
      </c>
      <c r="D2363">
        <v>2</v>
      </c>
    </row>
    <row r="2364" spans="1:4" x14ac:dyDescent="0.35">
      <c r="A2364" t="s">
        <v>2488</v>
      </c>
      <c r="B2364">
        <v>1830099</v>
      </c>
      <c r="C2364">
        <v>1750784</v>
      </c>
      <c r="D2364">
        <v>17</v>
      </c>
    </row>
    <row r="2365" spans="1:4" x14ac:dyDescent="0.35">
      <c r="A2365" t="s">
        <v>2489</v>
      </c>
      <c r="B2365">
        <v>723</v>
      </c>
      <c r="C2365">
        <v>701</v>
      </c>
      <c r="D2365">
        <v>28</v>
      </c>
    </row>
    <row r="2366" spans="1:4" x14ac:dyDescent="0.35">
      <c r="A2366" t="s">
        <v>2490</v>
      </c>
      <c r="B2366">
        <v>1708</v>
      </c>
      <c r="C2366">
        <v>1700</v>
      </c>
      <c r="D2366">
        <v>9480</v>
      </c>
    </row>
    <row r="2367" spans="1:4" x14ac:dyDescent="0.35">
      <c r="A2367" t="s">
        <v>2491</v>
      </c>
      <c r="B2367">
        <v>689</v>
      </c>
      <c r="C2367">
        <v>500</v>
      </c>
      <c r="D2367">
        <v>0</v>
      </c>
    </row>
    <row r="2368" spans="1:4" x14ac:dyDescent="0.35">
      <c r="A2368" t="s">
        <v>2492</v>
      </c>
      <c r="B2368">
        <v>4399</v>
      </c>
      <c r="C2368">
        <v>451</v>
      </c>
      <c r="D2368">
        <v>2</v>
      </c>
    </row>
    <row r="2369" spans="1:4" x14ac:dyDescent="0.35">
      <c r="A2369" t="s">
        <v>2493</v>
      </c>
      <c r="B2369">
        <v>25000</v>
      </c>
      <c r="C2369">
        <v>2833</v>
      </c>
      <c r="D2369">
        <v>0</v>
      </c>
    </row>
    <row r="2370" spans="1:4" x14ac:dyDescent="0.35">
      <c r="A2370" t="s">
        <v>2494</v>
      </c>
      <c r="B2370">
        <v>2762</v>
      </c>
      <c r="C2370">
        <v>1000</v>
      </c>
      <c r="D2370">
        <v>2</v>
      </c>
    </row>
    <row r="2371" spans="1:4" x14ac:dyDescent="0.35">
      <c r="A2371" t="s">
        <v>2495</v>
      </c>
      <c r="B2371">
        <v>269</v>
      </c>
      <c r="C2371">
        <v>212</v>
      </c>
      <c r="D2371">
        <v>20989</v>
      </c>
    </row>
    <row r="2372" spans="1:4" x14ac:dyDescent="0.35">
      <c r="A2372" t="s">
        <v>2496</v>
      </c>
      <c r="B2372">
        <v>16</v>
      </c>
      <c r="C2372">
        <v>16</v>
      </c>
      <c r="D2372">
        <v>864203</v>
      </c>
    </row>
    <row r="2373" spans="1:4" x14ac:dyDescent="0.35">
      <c r="A2373" t="s">
        <v>2497</v>
      </c>
      <c r="B2373">
        <v>320</v>
      </c>
      <c r="C2373">
        <v>310</v>
      </c>
      <c r="D2373">
        <v>3171</v>
      </c>
    </row>
    <row r="2374" spans="1:4" x14ac:dyDescent="0.35">
      <c r="A2374" t="s">
        <v>2498</v>
      </c>
      <c r="B2374">
        <v>109</v>
      </c>
      <c r="C2374">
        <v>106</v>
      </c>
      <c r="D2374">
        <v>45224</v>
      </c>
    </row>
    <row r="2375" spans="1:4" x14ac:dyDescent="0.35">
      <c r="A2375" t="s">
        <v>2499</v>
      </c>
      <c r="B2375">
        <v>2323</v>
      </c>
      <c r="C2375">
        <v>2200</v>
      </c>
      <c r="D2375">
        <v>0</v>
      </c>
    </row>
    <row r="2376" spans="1:4" x14ac:dyDescent="0.35">
      <c r="A2376" t="s">
        <v>2500</v>
      </c>
      <c r="B2376">
        <v>30</v>
      </c>
      <c r="C2376">
        <v>35</v>
      </c>
      <c r="D2376">
        <v>1382</v>
      </c>
    </row>
    <row r="2377" spans="1:4" x14ac:dyDescent="0.35">
      <c r="A2377" t="s">
        <v>2501</v>
      </c>
      <c r="B2377">
        <v>5763</v>
      </c>
      <c r="C2377">
        <v>5700</v>
      </c>
      <c r="D2377">
        <v>268</v>
      </c>
    </row>
    <row r="2378" spans="1:4" x14ac:dyDescent="0.35">
      <c r="A2378" t="s">
        <v>2502</v>
      </c>
      <c r="B2378">
        <v>5101</v>
      </c>
      <c r="C2378">
        <v>5101</v>
      </c>
      <c r="D2378">
        <v>1182</v>
      </c>
    </row>
    <row r="2379" spans="1:4" x14ac:dyDescent="0.35">
      <c r="A2379" t="s">
        <v>2503</v>
      </c>
      <c r="B2379">
        <v>86</v>
      </c>
      <c r="C2379">
        <v>65</v>
      </c>
      <c r="D2379">
        <v>728</v>
      </c>
    </row>
    <row r="2380" spans="1:4" x14ac:dyDescent="0.35">
      <c r="A2380" t="s">
        <v>2504</v>
      </c>
      <c r="B2380">
        <v>204</v>
      </c>
      <c r="C2380">
        <v>190</v>
      </c>
      <c r="D2380">
        <v>83</v>
      </c>
    </row>
    <row r="2381" spans="1:4" x14ac:dyDescent="0.35">
      <c r="A2381" t="s">
        <v>2505</v>
      </c>
      <c r="B2381">
        <v>92</v>
      </c>
      <c r="C2381">
        <v>90</v>
      </c>
      <c r="D2381">
        <v>7637</v>
      </c>
    </row>
    <row r="2382" spans="1:4" x14ac:dyDescent="0.35">
      <c r="A2382" t="s">
        <v>2506</v>
      </c>
      <c r="B2382">
        <v>1</v>
      </c>
      <c r="C2382">
        <v>11</v>
      </c>
      <c r="D2382">
        <v>0</v>
      </c>
    </row>
    <row r="2383" spans="1:4" x14ac:dyDescent="0.35">
      <c r="A2383" t="s">
        <v>2507</v>
      </c>
      <c r="B2383">
        <v>338900</v>
      </c>
      <c r="C2383">
        <v>330202</v>
      </c>
      <c r="D2383">
        <v>127</v>
      </c>
    </row>
    <row r="2384" spans="1:4" x14ac:dyDescent="0.35">
      <c r="A2384" t="s">
        <v>2508</v>
      </c>
      <c r="B2384">
        <v>369999</v>
      </c>
      <c r="C2384">
        <v>250000</v>
      </c>
      <c r="D2384">
        <v>0</v>
      </c>
    </row>
    <row r="2385" spans="1:4" x14ac:dyDescent="0.35">
      <c r="A2385" t="s">
        <v>2509</v>
      </c>
      <c r="B2385">
        <v>369999</v>
      </c>
      <c r="C2385">
        <v>365099</v>
      </c>
      <c r="D2385">
        <v>2</v>
      </c>
    </row>
    <row r="2386" spans="1:4" x14ac:dyDescent="0.35">
      <c r="A2386" t="s">
        <v>2510</v>
      </c>
      <c r="B2386">
        <v>2</v>
      </c>
      <c r="C2386">
        <v>2</v>
      </c>
      <c r="D2386">
        <v>417</v>
      </c>
    </row>
    <row r="2387" spans="1:4" x14ac:dyDescent="0.35">
      <c r="A2387" t="s">
        <v>2511</v>
      </c>
      <c r="B2387">
        <v>200</v>
      </c>
      <c r="C2387">
        <v>200</v>
      </c>
      <c r="D2387">
        <v>30</v>
      </c>
    </row>
    <row r="2388" spans="1:4" x14ac:dyDescent="0.35">
      <c r="A2388" t="s">
        <v>2512</v>
      </c>
      <c r="B2388">
        <v>6999</v>
      </c>
      <c r="C2388">
        <v>6977</v>
      </c>
      <c r="D2388">
        <v>2261</v>
      </c>
    </row>
    <row r="2389" spans="1:4" x14ac:dyDescent="0.35">
      <c r="A2389" t="s">
        <v>80</v>
      </c>
      <c r="B2389">
        <v>2044</v>
      </c>
      <c r="C2389">
        <v>1962</v>
      </c>
      <c r="D2389">
        <v>11132</v>
      </c>
    </row>
    <row r="2390" spans="1:4" x14ac:dyDescent="0.35">
      <c r="A2390" t="s">
        <v>2513</v>
      </c>
      <c r="B2390">
        <v>203</v>
      </c>
      <c r="C2390">
        <v>199</v>
      </c>
      <c r="D2390">
        <v>1172</v>
      </c>
    </row>
    <row r="2391" spans="1:4" x14ac:dyDescent="0.35">
      <c r="A2391" t="s">
        <v>173</v>
      </c>
      <c r="B2391">
        <v>240</v>
      </c>
      <c r="C2391">
        <v>200</v>
      </c>
      <c r="D2391">
        <v>118</v>
      </c>
    </row>
    <row r="2392" spans="1:4" x14ac:dyDescent="0.35">
      <c r="A2392" t="s">
        <v>2514</v>
      </c>
      <c r="B2392">
        <v>15</v>
      </c>
      <c r="C2392">
        <v>13</v>
      </c>
      <c r="D2392">
        <v>410</v>
      </c>
    </row>
    <row r="2393" spans="1:4" x14ac:dyDescent="0.35">
      <c r="A2393" t="s">
        <v>2515</v>
      </c>
      <c r="B2393">
        <v>1</v>
      </c>
      <c r="C2393">
        <v>2</v>
      </c>
      <c r="D2393">
        <v>11850</v>
      </c>
    </row>
    <row r="2394" spans="1:4" x14ac:dyDescent="0.35">
      <c r="A2394" t="s">
        <v>2516</v>
      </c>
      <c r="B2394">
        <v>8350</v>
      </c>
      <c r="C2394">
        <v>3740</v>
      </c>
      <c r="D2394">
        <v>0</v>
      </c>
    </row>
    <row r="2395" spans="1:4" x14ac:dyDescent="0.35">
      <c r="A2395" t="s">
        <v>2517</v>
      </c>
      <c r="B2395">
        <v>182007234</v>
      </c>
      <c r="C2395">
        <v>180772481</v>
      </c>
      <c r="D2395">
        <v>9</v>
      </c>
    </row>
    <row r="2396" spans="1:4" x14ac:dyDescent="0.35">
      <c r="A2396" t="s">
        <v>2518</v>
      </c>
      <c r="B2396">
        <v>56199999</v>
      </c>
      <c r="C2396">
        <v>55708211</v>
      </c>
      <c r="D2396">
        <v>19</v>
      </c>
    </row>
    <row r="2397" spans="1:4" x14ac:dyDescent="0.35">
      <c r="A2397" t="s">
        <v>2519</v>
      </c>
      <c r="B2397">
        <v>92855555</v>
      </c>
      <c r="C2397">
        <v>91056984</v>
      </c>
      <c r="D2397">
        <v>9</v>
      </c>
    </row>
    <row r="2398" spans="1:4" x14ac:dyDescent="0.35">
      <c r="A2398" t="s">
        <v>2520</v>
      </c>
      <c r="B2398">
        <v>37452405</v>
      </c>
      <c r="C2398">
        <v>36894990</v>
      </c>
      <c r="D2398">
        <v>9</v>
      </c>
    </row>
    <row r="2399" spans="1:4" x14ac:dyDescent="0.35">
      <c r="A2399" t="s">
        <v>2521</v>
      </c>
      <c r="B2399">
        <v>62723840</v>
      </c>
      <c r="C2399">
        <v>62650001</v>
      </c>
      <c r="D2399">
        <v>13</v>
      </c>
    </row>
    <row r="2400" spans="1:4" x14ac:dyDescent="0.35">
      <c r="A2400" t="s">
        <v>2522</v>
      </c>
      <c r="B2400">
        <v>15099999</v>
      </c>
      <c r="C2400">
        <v>14938184</v>
      </c>
      <c r="D2400">
        <v>11</v>
      </c>
    </row>
    <row r="2401" spans="1:4" x14ac:dyDescent="0.35">
      <c r="A2401" t="s">
        <v>2523</v>
      </c>
      <c r="B2401">
        <v>24196763</v>
      </c>
      <c r="C2401">
        <v>23750000</v>
      </c>
      <c r="D2401">
        <v>26</v>
      </c>
    </row>
    <row r="2402" spans="1:4" x14ac:dyDescent="0.35">
      <c r="A2402" t="s">
        <v>2524</v>
      </c>
      <c r="B2402">
        <v>74221</v>
      </c>
      <c r="C2402">
        <v>68005</v>
      </c>
      <c r="D2402">
        <v>12</v>
      </c>
    </row>
    <row r="2403" spans="1:4" x14ac:dyDescent="0.35">
      <c r="A2403" t="s">
        <v>2525</v>
      </c>
      <c r="B2403">
        <v>2069787</v>
      </c>
      <c r="C2403">
        <v>1986318</v>
      </c>
      <c r="D2403">
        <v>15</v>
      </c>
    </row>
    <row r="2404" spans="1:4" x14ac:dyDescent="0.35">
      <c r="A2404" t="s">
        <v>2526</v>
      </c>
      <c r="B2404">
        <v>174695</v>
      </c>
      <c r="C2404">
        <v>145600</v>
      </c>
      <c r="D2404">
        <v>0</v>
      </c>
    </row>
    <row r="2405" spans="1:4" x14ac:dyDescent="0.35">
      <c r="A2405" t="s">
        <v>2527</v>
      </c>
      <c r="B2405">
        <v>772880</v>
      </c>
      <c r="C2405">
        <v>500000</v>
      </c>
      <c r="D2405">
        <v>0</v>
      </c>
    </row>
    <row r="2406" spans="1:4" x14ac:dyDescent="0.35">
      <c r="A2406" t="s">
        <v>2528</v>
      </c>
      <c r="B2406">
        <v>45</v>
      </c>
      <c r="C2406">
        <v>40</v>
      </c>
      <c r="D2406">
        <v>464</v>
      </c>
    </row>
    <row r="2407" spans="1:4" x14ac:dyDescent="0.35">
      <c r="A2407" t="s">
        <v>2529</v>
      </c>
      <c r="B2407">
        <v>280</v>
      </c>
      <c r="C2407">
        <v>280</v>
      </c>
      <c r="D2407">
        <v>4</v>
      </c>
    </row>
    <row r="2408" spans="1:4" x14ac:dyDescent="0.35">
      <c r="A2408" t="s">
        <v>2530</v>
      </c>
      <c r="B2408">
        <v>24559</v>
      </c>
      <c r="C2408">
        <v>23600</v>
      </c>
      <c r="D2408">
        <v>0</v>
      </c>
    </row>
    <row r="2409" spans="1:4" x14ac:dyDescent="0.35">
      <c r="A2409" t="s">
        <v>2531</v>
      </c>
      <c r="B2409">
        <v>1073</v>
      </c>
      <c r="C2409">
        <v>1250</v>
      </c>
      <c r="D2409">
        <v>3</v>
      </c>
    </row>
    <row r="2410" spans="1:4" x14ac:dyDescent="0.35">
      <c r="A2410" t="s">
        <v>2532</v>
      </c>
      <c r="B2410">
        <v>4000</v>
      </c>
      <c r="C2410">
        <v>864</v>
      </c>
      <c r="D2410">
        <v>1</v>
      </c>
    </row>
    <row r="2411" spans="1:4" x14ac:dyDescent="0.35">
      <c r="A2411" t="s">
        <v>2533</v>
      </c>
      <c r="B2411">
        <v>1559</v>
      </c>
      <c r="C2411">
        <v>1526</v>
      </c>
      <c r="D2411">
        <v>3</v>
      </c>
    </row>
    <row r="2412" spans="1:4" x14ac:dyDescent="0.35">
      <c r="A2412" t="s">
        <v>2534</v>
      </c>
      <c r="B2412">
        <v>1019</v>
      </c>
      <c r="C2412">
        <v>1004</v>
      </c>
      <c r="D2412">
        <v>2</v>
      </c>
    </row>
    <row r="2413" spans="1:4" x14ac:dyDescent="0.35">
      <c r="A2413" t="s">
        <v>2535</v>
      </c>
      <c r="B2413">
        <v>1000</v>
      </c>
      <c r="C2413">
        <v>1643</v>
      </c>
      <c r="D2413">
        <v>0</v>
      </c>
    </row>
    <row r="2414" spans="1:4" x14ac:dyDescent="0.35">
      <c r="A2414" t="s">
        <v>2536</v>
      </c>
      <c r="B2414">
        <v>285</v>
      </c>
      <c r="C2414">
        <v>10</v>
      </c>
      <c r="D2414">
        <v>1</v>
      </c>
    </row>
    <row r="2415" spans="1:4" x14ac:dyDescent="0.35">
      <c r="A2415" t="s">
        <v>2537</v>
      </c>
      <c r="B2415">
        <v>700</v>
      </c>
      <c r="C2415">
        <v>1125</v>
      </c>
      <c r="D2415">
        <v>0</v>
      </c>
    </row>
    <row r="2416" spans="1:4" x14ac:dyDescent="0.35">
      <c r="A2416" t="s">
        <v>2538</v>
      </c>
      <c r="B2416">
        <v>733</v>
      </c>
      <c r="C2416">
        <v>722</v>
      </c>
      <c r="D2416">
        <v>0</v>
      </c>
    </row>
    <row r="2417" spans="1:4" x14ac:dyDescent="0.35">
      <c r="A2417" t="s">
        <v>2539</v>
      </c>
      <c r="B2417">
        <v>932</v>
      </c>
      <c r="C2417">
        <v>512</v>
      </c>
      <c r="D2417">
        <v>0</v>
      </c>
    </row>
    <row r="2418" spans="1:4" x14ac:dyDescent="0.35">
      <c r="A2418" t="s">
        <v>2540</v>
      </c>
      <c r="B2418">
        <v>4000</v>
      </c>
      <c r="C2418">
        <v>1011</v>
      </c>
      <c r="D2418">
        <v>1</v>
      </c>
    </row>
    <row r="2419" spans="1:4" x14ac:dyDescent="0.35">
      <c r="A2419" t="s">
        <v>2541</v>
      </c>
      <c r="B2419">
        <v>1705</v>
      </c>
      <c r="C2419">
        <v>1713</v>
      </c>
      <c r="D2419">
        <v>1</v>
      </c>
    </row>
    <row r="2420" spans="1:4" x14ac:dyDescent="0.35">
      <c r="A2420" t="s">
        <v>2542</v>
      </c>
      <c r="B2420">
        <v>2422</v>
      </c>
      <c r="C2420">
        <v>2009</v>
      </c>
      <c r="D2420">
        <v>1685</v>
      </c>
    </row>
    <row r="2421" spans="1:4" x14ac:dyDescent="0.35">
      <c r="A2421" t="s">
        <v>2543</v>
      </c>
      <c r="B2421">
        <v>34742874</v>
      </c>
      <c r="C2421">
        <v>31682031</v>
      </c>
      <c r="D2421">
        <v>0</v>
      </c>
    </row>
    <row r="2422" spans="1:4" x14ac:dyDescent="0.35">
      <c r="A2422" t="s">
        <v>2544</v>
      </c>
      <c r="B2422">
        <v>1659781</v>
      </c>
      <c r="C2422">
        <v>1579001</v>
      </c>
      <c r="D2422">
        <v>0</v>
      </c>
    </row>
    <row r="2423" spans="1:4" x14ac:dyDescent="0.35">
      <c r="A2423" t="s">
        <v>2545</v>
      </c>
      <c r="B2423">
        <v>491</v>
      </c>
      <c r="C2423">
        <v>995</v>
      </c>
      <c r="D2423">
        <v>5</v>
      </c>
    </row>
    <row r="2424" spans="1:4" x14ac:dyDescent="0.35">
      <c r="A2424" t="s">
        <v>2546</v>
      </c>
      <c r="B2424">
        <v>350</v>
      </c>
      <c r="C2424">
        <v>2364</v>
      </c>
      <c r="D2424">
        <v>0</v>
      </c>
    </row>
    <row r="2425" spans="1:4" x14ac:dyDescent="0.35">
      <c r="A2425" t="s">
        <v>2547</v>
      </c>
      <c r="B2425">
        <v>1623</v>
      </c>
      <c r="C2425">
        <v>1623</v>
      </c>
      <c r="D2425">
        <v>493</v>
      </c>
    </row>
    <row r="2426" spans="1:4" x14ac:dyDescent="0.35">
      <c r="A2426" t="s">
        <v>2548</v>
      </c>
      <c r="B2426">
        <v>55555</v>
      </c>
      <c r="C2426">
        <v>55555</v>
      </c>
      <c r="D2426">
        <v>0</v>
      </c>
    </row>
    <row r="2427" spans="1:4" x14ac:dyDescent="0.35">
      <c r="A2427" t="s">
        <v>2549</v>
      </c>
      <c r="B2427">
        <v>222222</v>
      </c>
      <c r="C2427">
        <v>222222</v>
      </c>
      <c r="D2427">
        <v>0</v>
      </c>
    </row>
    <row r="2428" spans="1:4" x14ac:dyDescent="0.35">
      <c r="A2428" t="s">
        <v>2550</v>
      </c>
      <c r="B2428">
        <v>1253</v>
      </c>
      <c r="C2428">
        <v>1227</v>
      </c>
      <c r="D2428">
        <v>141</v>
      </c>
    </row>
    <row r="2429" spans="1:4" x14ac:dyDescent="0.35">
      <c r="A2429" t="s">
        <v>2551</v>
      </c>
      <c r="B2429">
        <v>2</v>
      </c>
      <c r="C2429">
        <v>2</v>
      </c>
      <c r="D2429">
        <v>496940</v>
      </c>
    </row>
    <row r="2430" spans="1:4" x14ac:dyDescent="0.35">
      <c r="A2430" t="s">
        <v>2552</v>
      </c>
      <c r="B2430">
        <v>54056</v>
      </c>
      <c r="C2430">
        <v>46021</v>
      </c>
      <c r="D2430">
        <v>17</v>
      </c>
    </row>
    <row r="2431" spans="1:4" x14ac:dyDescent="0.35">
      <c r="A2431" t="s">
        <v>2553</v>
      </c>
      <c r="B2431">
        <v>1750</v>
      </c>
      <c r="C2431">
        <v>1696</v>
      </c>
      <c r="D2431">
        <v>213</v>
      </c>
    </row>
    <row r="2432" spans="1:4" x14ac:dyDescent="0.35">
      <c r="A2432" t="s">
        <v>2554</v>
      </c>
      <c r="B2432">
        <v>45</v>
      </c>
      <c r="C2432">
        <v>40</v>
      </c>
      <c r="D2432">
        <v>15</v>
      </c>
    </row>
    <row r="2433" spans="1:4" x14ac:dyDescent="0.35">
      <c r="A2433" t="s">
        <v>2555</v>
      </c>
      <c r="B2433">
        <v>853</v>
      </c>
      <c r="C2433">
        <v>250</v>
      </c>
      <c r="D2433">
        <v>3</v>
      </c>
    </row>
    <row r="2434" spans="1:4" x14ac:dyDescent="0.35">
      <c r="A2434" t="s">
        <v>2556</v>
      </c>
      <c r="B2434">
        <v>85882</v>
      </c>
      <c r="C2434">
        <v>65000</v>
      </c>
      <c r="D2434">
        <v>0</v>
      </c>
    </row>
    <row r="2435" spans="1:4" x14ac:dyDescent="0.35">
      <c r="A2435" t="s">
        <v>2557</v>
      </c>
      <c r="B2435">
        <v>4700</v>
      </c>
      <c r="C2435">
        <v>4150</v>
      </c>
      <c r="D2435">
        <v>55</v>
      </c>
    </row>
    <row r="2436" spans="1:4" x14ac:dyDescent="0.35">
      <c r="A2436" t="s">
        <v>2558</v>
      </c>
      <c r="B2436">
        <v>86000</v>
      </c>
      <c r="C2436">
        <v>86069</v>
      </c>
      <c r="D2436">
        <v>8</v>
      </c>
    </row>
    <row r="2437" spans="1:4" x14ac:dyDescent="0.35">
      <c r="A2437" t="s">
        <v>2559</v>
      </c>
      <c r="B2437">
        <v>108</v>
      </c>
      <c r="C2437">
        <v>103</v>
      </c>
      <c r="D2437">
        <v>158257</v>
      </c>
    </row>
    <row r="2438" spans="1:4" x14ac:dyDescent="0.35">
      <c r="A2438" t="s">
        <v>2560</v>
      </c>
      <c r="B2438">
        <v>1653</v>
      </c>
      <c r="C2438">
        <v>1653</v>
      </c>
      <c r="D2438">
        <v>154</v>
      </c>
    </row>
    <row r="2439" spans="1:4" x14ac:dyDescent="0.35">
      <c r="A2439" t="s">
        <v>2561</v>
      </c>
      <c r="B2439">
        <v>1150</v>
      </c>
      <c r="C2439">
        <v>1014</v>
      </c>
      <c r="D2439">
        <v>5</v>
      </c>
    </row>
    <row r="2440" spans="1:4" x14ac:dyDescent="0.35">
      <c r="A2440" t="s">
        <v>2562</v>
      </c>
      <c r="B2440">
        <v>1500</v>
      </c>
      <c r="C2440">
        <v>749</v>
      </c>
      <c r="D2440">
        <v>0</v>
      </c>
    </row>
    <row r="2441" spans="1:4" x14ac:dyDescent="0.35">
      <c r="A2441" t="s">
        <v>2563</v>
      </c>
      <c r="B2441">
        <v>1995</v>
      </c>
      <c r="C2441">
        <v>1322</v>
      </c>
      <c r="D2441">
        <v>8</v>
      </c>
    </row>
    <row r="2442" spans="1:4" x14ac:dyDescent="0.35">
      <c r="A2442" t="s">
        <v>2564</v>
      </c>
      <c r="B2442">
        <v>13</v>
      </c>
      <c r="C2442">
        <v>11</v>
      </c>
      <c r="D2442">
        <v>233580</v>
      </c>
    </row>
    <row r="2443" spans="1:4" x14ac:dyDescent="0.35">
      <c r="A2443" t="s">
        <v>2565</v>
      </c>
      <c r="B2443">
        <v>138</v>
      </c>
      <c r="C2443">
        <v>2</v>
      </c>
      <c r="D2443">
        <v>0</v>
      </c>
    </row>
    <row r="2444" spans="1:4" x14ac:dyDescent="0.35">
      <c r="A2444" t="s">
        <v>2566</v>
      </c>
      <c r="B2444">
        <v>87</v>
      </c>
      <c r="C2444">
        <v>51</v>
      </c>
      <c r="D2444">
        <v>0</v>
      </c>
    </row>
    <row r="2445" spans="1:4" x14ac:dyDescent="0.35">
      <c r="A2445" t="s">
        <v>2567</v>
      </c>
      <c r="B2445">
        <v>1150</v>
      </c>
      <c r="C2445">
        <v>304</v>
      </c>
      <c r="D2445">
        <v>0</v>
      </c>
    </row>
    <row r="2446" spans="1:4" x14ac:dyDescent="0.35">
      <c r="A2446" t="s">
        <v>2568</v>
      </c>
      <c r="B2446">
        <v>38</v>
      </c>
      <c r="C2446">
        <v>38</v>
      </c>
      <c r="D2446">
        <v>3217</v>
      </c>
    </row>
    <row r="2447" spans="1:4" x14ac:dyDescent="0.35">
      <c r="A2447" t="s">
        <v>2569</v>
      </c>
      <c r="B2447">
        <v>217</v>
      </c>
      <c r="C2447">
        <v>202</v>
      </c>
      <c r="D2447">
        <v>79</v>
      </c>
    </row>
    <row r="2448" spans="1:4" x14ac:dyDescent="0.35">
      <c r="A2448" t="s">
        <v>2570</v>
      </c>
      <c r="B2448">
        <v>1028</v>
      </c>
      <c r="C2448">
        <v>1020</v>
      </c>
      <c r="D2448">
        <v>70702</v>
      </c>
    </row>
    <row r="2449" spans="1:4" x14ac:dyDescent="0.35">
      <c r="A2449" t="s">
        <v>2571</v>
      </c>
      <c r="B2449">
        <v>1256</v>
      </c>
      <c r="C2449">
        <v>1100</v>
      </c>
      <c r="D2449">
        <v>18</v>
      </c>
    </row>
    <row r="2450" spans="1:4" x14ac:dyDescent="0.35">
      <c r="A2450" t="s">
        <v>2572</v>
      </c>
      <c r="B2450">
        <v>35</v>
      </c>
      <c r="C2450">
        <v>31</v>
      </c>
      <c r="D2450">
        <v>6276</v>
      </c>
    </row>
    <row r="2451" spans="1:4" x14ac:dyDescent="0.35">
      <c r="A2451" t="s">
        <v>2573</v>
      </c>
      <c r="B2451">
        <v>307</v>
      </c>
      <c r="C2451">
        <v>322</v>
      </c>
      <c r="D2451">
        <v>0</v>
      </c>
    </row>
    <row r="2452" spans="1:4" x14ac:dyDescent="0.35">
      <c r="A2452" t="s">
        <v>2574</v>
      </c>
      <c r="B2452">
        <v>517</v>
      </c>
      <c r="C2452">
        <v>21</v>
      </c>
      <c r="D2452">
        <v>0</v>
      </c>
    </row>
    <row r="2453" spans="1:4" x14ac:dyDescent="0.35">
      <c r="A2453" t="s">
        <v>2575</v>
      </c>
      <c r="B2453">
        <v>1037</v>
      </c>
      <c r="C2453">
        <v>201</v>
      </c>
      <c r="D2453">
        <v>0</v>
      </c>
    </row>
    <row r="2454" spans="1:4" x14ac:dyDescent="0.35">
      <c r="A2454" t="s">
        <v>2576</v>
      </c>
      <c r="B2454">
        <v>71</v>
      </c>
      <c r="C2454">
        <v>71</v>
      </c>
      <c r="D2454">
        <v>300</v>
      </c>
    </row>
    <row r="2455" spans="1:4" x14ac:dyDescent="0.35">
      <c r="A2455" t="s">
        <v>2577</v>
      </c>
      <c r="B2455">
        <v>592</v>
      </c>
      <c r="C2455">
        <v>560</v>
      </c>
      <c r="D2455">
        <v>4</v>
      </c>
    </row>
    <row r="2456" spans="1:4" x14ac:dyDescent="0.35">
      <c r="A2456" t="s">
        <v>2578</v>
      </c>
      <c r="B2456">
        <v>215</v>
      </c>
      <c r="C2456">
        <v>237</v>
      </c>
      <c r="D2456">
        <v>1700</v>
      </c>
    </row>
    <row r="2457" spans="1:4" x14ac:dyDescent="0.35">
      <c r="A2457" t="s">
        <v>2579</v>
      </c>
      <c r="B2457">
        <v>161</v>
      </c>
      <c r="C2457">
        <v>160</v>
      </c>
      <c r="D2457">
        <v>30620</v>
      </c>
    </row>
    <row r="2458" spans="1:4" x14ac:dyDescent="0.35">
      <c r="A2458" t="s">
        <v>2580</v>
      </c>
      <c r="B2458">
        <v>1003</v>
      </c>
      <c r="C2458">
        <v>804</v>
      </c>
      <c r="D2458">
        <v>1479</v>
      </c>
    </row>
    <row r="2459" spans="1:4" x14ac:dyDescent="0.35">
      <c r="A2459" t="s">
        <v>2581</v>
      </c>
      <c r="B2459">
        <v>1050</v>
      </c>
      <c r="C2459">
        <v>751</v>
      </c>
      <c r="D2459">
        <v>1</v>
      </c>
    </row>
    <row r="2460" spans="1:4" x14ac:dyDescent="0.35">
      <c r="A2460" t="s">
        <v>2582</v>
      </c>
      <c r="B2460">
        <v>719</v>
      </c>
      <c r="C2460">
        <v>600</v>
      </c>
      <c r="D2460">
        <v>4</v>
      </c>
    </row>
    <row r="2461" spans="1:4" x14ac:dyDescent="0.35">
      <c r="A2461" t="s">
        <v>2583</v>
      </c>
      <c r="B2461">
        <v>608</v>
      </c>
      <c r="C2461">
        <v>670</v>
      </c>
      <c r="D2461">
        <v>2</v>
      </c>
    </row>
    <row r="2462" spans="1:4" x14ac:dyDescent="0.35">
      <c r="A2462" t="s">
        <v>2584</v>
      </c>
      <c r="B2462">
        <v>213</v>
      </c>
      <c r="C2462">
        <v>121</v>
      </c>
      <c r="D2462">
        <v>2</v>
      </c>
    </row>
    <row r="2463" spans="1:4" x14ac:dyDescent="0.35">
      <c r="A2463" t="s">
        <v>2585</v>
      </c>
      <c r="B2463">
        <v>1</v>
      </c>
      <c r="C2463">
        <v>58</v>
      </c>
      <c r="D2463">
        <v>0</v>
      </c>
    </row>
    <row r="2464" spans="1:4" x14ac:dyDescent="0.35">
      <c r="A2464" t="s">
        <v>2586</v>
      </c>
      <c r="B2464">
        <v>1939</v>
      </c>
      <c r="C2464">
        <v>100</v>
      </c>
      <c r="D2464">
        <v>0</v>
      </c>
    </row>
    <row r="2465" spans="1:4" x14ac:dyDescent="0.35">
      <c r="A2465" t="s">
        <v>2587</v>
      </c>
      <c r="B2465">
        <v>3379</v>
      </c>
      <c r="C2465">
        <v>3547</v>
      </c>
      <c r="D2465">
        <v>0</v>
      </c>
    </row>
    <row r="2466" spans="1:4" x14ac:dyDescent="0.35">
      <c r="A2466" t="s">
        <v>2588</v>
      </c>
      <c r="B2466">
        <v>13</v>
      </c>
      <c r="C2466">
        <v>11</v>
      </c>
      <c r="D2466">
        <v>170003</v>
      </c>
    </row>
    <row r="2467" spans="1:4" x14ac:dyDescent="0.35">
      <c r="A2467" t="s">
        <v>2589</v>
      </c>
      <c r="B2467">
        <v>108</v>
      </c>
      <c r="C2467">
        <v>108</v>
      </c>
      <c r="D2467">
        <v>49706</v>
      </c>
    </row>
    <row r="2468" spans="1:4" x14ac:dyDescent="0.35">
      <c r="A2468" t="s">
        <v>2590</v>
      </c>
      <c r="B2468">
        <v>139</v>
      </c>
      <c r="C2468">
        <v>60</v>
      </c>
      <c r="D2468">
        <v>0</v>
      </c>
    </row>
    <row r="2469" spans="1:4" x14ac:dyDescent="0.35">
      <c r="A2469" t="s">
        <v>2591</v>
      </c>
      <c r="B2469">
        <v>199</v>
      </c>
      <c r="C2469">
        <v>20000</v>
      </c>
      <c r="D2469">
        <v>0</v>
      </c>
    </row>
    <row r="2470" spans="1:4" x14ac:dyDescent="0.35">
      <c r="A2470" t="s">
        <v>2592</v>
      </c>
      <c r="B2470">
        <v>683</v>
      </c>
      <c r="C2470">
        <v>843</v>
      </c>
      <c r="D2470">
        <v>0</v>
      </c>
    </row>
    <row r="2471" spans="1:4" x14ac:dyDescent="0.35">
      <c r="A2471" t="s">
        <v>2593</v>
      </c>
      <c r="B2471">
        <v>4981</v>
      </c>
      <c r="C2471">
        <v>5600</v>
      </c>
      <c r="D2471">
        <v>2</v>
      </c>
    </row>
    <row r="2472" spans="1:4" x14ac:dyDescent="0.35">
      <c r="A2472" t="s">
        <v>2594</v>
      </c>
      <c r="B2472">
        <v>1475000</v>
      </c>
      <c r="C2472">
        <v>1250000</v>
      </c>
      <c r="D2472">
        <v>0</v>
      </c>
    </row>
    <row r="2473" spans="1:4" x14ac:dyDescent="0.35">
      <c r="A2473" t="s">
        <v>2595</v>
      </c>
      <c r="B2473">
        <v>749</v>
      </c>
      <c r="C2473">
        <v>838</v>
      </c>
      <c r="D2473">
        <v>24</v>
      </c>
    </row>
    <row r="2474" spans="1:4" x14ac:dyDescent="0.35">
      <c r="A2474" t="s">
        <v>2596</v>
      </c>
      <c r="B2474">
        <v>9000</v>
      </c>
      <c r="C2474">
        <v>2856</v>
      </c>
      <c r="D2474">
        <v>2</v>
      </c>
    </row>
    <row r="2475" spans="1:4" x14ac:dyDescent="0.35">
      <c r="A2475" t="s">
        <v>2597</v>
      </c>
      <c r="B2475">
        <v>8000</v>
      </c>
      <c r="C2475">
        <v>2303</v>
      </c>
      <c r="D2475">
        <v>4</v>
      </c>
    </row>
    <row r="2476" spans="1:4" x14ac:dyDescent="0.35">
      <c r="A2476" t="s">
        <v>2598</v>
      </c>
      <c r="B2476">
        <v>15466</v>
      </c>
      <c r="C2476">
        <v>15150</v>
      </c>
      <c r="D2476">
        <v>0</v>
      </c>
    </row>
    <row r="2477" spans="1:4" x14ac:dyDescent="0.35">
      <c r="A2477" t="s">
        <v>2599</v>
      </c>
      <c r="B2477">
        <v>20506</v>
      </c>
      <c r="C2477">
        <v>7777</v>
      </c>
      <c r="D2477">
        <v>1</v>
      </c>
    </row>
    <row r="2478" spans="1:4" x14ac:dyDescent="0.35">
      <c r="A2478" t="s">
        <v>2600</v>
      </c>
      <c r="B2478">
        <v>6380</v>
      </c>
      <c r="C2478">
        <v>6699</v>
      </c>
      <c r="D2478">
        <v>0</v>
      </c>
    </row>
    <row r="2479" spans="1:4" x14ac:dyDescent="0.35">
      <c r="A2479" t="s">
        <v>2601</v>
      </c>
      <c r="B2479">
        <v>274</v>
      </c>
      <c r="C2479">
        <v>201</v>
      </c>
      <c r="D2479">
        <v>0</v>
      </c>
    </row>
    <row r="2480" spans="1:4" x14ac:dyDescent="0.35">
      <c r="A2480" t="s">
        <v>2602</v>
      </c>
      <c r="B2480">
        <v>2000</v>
      </c>
      <c r="C2480">
        <v>5782</v>
      </c>
      <c r="D2480">
        <v>0</v>
      </c>
    </row>
    <row r="2481" spans="1:4" x14ac:dyDescent="0.35">
      <c r="A2481" t="s">
        <v>2603</v>
      </c>
      <c r="B2481">
        <v>500</v>
      </c>
      <c r="C2481">
        <v>500</v>
      </c>
      <c r="D2481">
        <v>0</v>
      </c>
    </row>
    <row r="2482" spans="1:4" x14ac:dyDescent="0.35">
      <c r="A2482" t="s">
        <v>2604</v>
      </c>
      <c r="B2482">
        <v>7394</v>
      </c>
      <c r="C2482">
        <v>7394</v>
      </c>
      <c r="D2482">
        <v>0</v>
      </c>
    </row>
    <row r="2483" spans="1:4" x14ac:dyDescent="0.35">
      <c r="A2483" t="s">
        <v>2605</v>
      </c>
      <c r="B2483">
        <v>20</v>
      </c>
      <c r="C2483">
        <v>8</v>
      </c>
      <c r="D2483">
        <v>426</v>
      </c>
    </row>
    <row r="2484" spans="1:4" x14ac:dyDescent="0.35">
      <c r="A2484" t="s">
        <v>2606</v>
      </c>
      <c r="B2484">
        <v>185</v>
      </c>
      <c r="C2484">
        <v>269</v>
      </c>
      <c r="D2484">
        <v>0</v>
      </c>
    </row>
    <row r="2485" spans="1:4" x14ac:dyDescent="0.35">
      <c r="A2485" t="s">
        <v>2607</v>
      </c>
      <c r="B2485">
        <v>50</v>
      </c>
      <c r="C2485">
        <v>50</v>
      </c>
      <c r="D2485">
        <v>0</v>
      </c>
    </row>
    <row r="2486" spans="1:4" x14ac:dyDescent="0.35">
      <c r="A2486" t="s">
        <v>2608</v>
      </c>
      <c r="B2486">
        <v>19</v>
      </c>
      <c r="C2486">
        <v>23</v>
      </c>
      <c r="D2486">
        <v>0</v>
      </c>
    </row>
    <row r="2487" spans="1:4" x14ac:dyDescent="0.35">
      <c r="A2487" t="s">
        <v>2609</v>
      </c>
      <c r="B2487">
        <v>30</v>
      </c>
      <c r="C2487">
        <v>39</v>
      </c>
      <c r="D2487">
        <v>0</v>
      </c>
    </row>
    <row r="2488" spans="1:4" x14ac:dyDescent="0.35">
      <c r="A2488" t="s">
        <v>2610</v>
      </c>
      <c r="B2488">
        <v>4319</v>
      </c>
      <c r="C2488">
        <v>3777</v>
      </c>
      <c r="D2488">
        <v>72</v>
      </c>
    </row>
    <row r="2489" spans="1:4" x14ac:dyDescent="0.35">
      <c r="A2489" t="s">
        <v>2611</v>
      </c>
      <c r="B2489">
        <v>1247</v>
      </c>
      <c r="C2489">
        <v>1215</v>
      </c>
      <c r="D2489">
        <v>250</v>
      </c>
    </row>
    <row r="2490" spans="1:4" x14ac:dyDescent="0.35">
      <c r="A2490" t="s">
        <v>2612</v>
      </c>
      <c r="B2490">
        <v>2186</v>
      </c>
      <c r="C2490">
        <v>2188</v>
      </c>
      <c r="D2490">
        <v>8</v>
      </c>
    </row>
    <row r="2491" spans="1:4" x14ac:dyDescent="0.35">
      <c r="A2491" t="s">
        <v>2613</v>
      </c>
      <c r="B2491">
        <v>9000</v>
      </c>
      <c r="C2491">
        <v>2600</v>
      </c>
      <c r="D2491">
        <v>2</v>
      </c>
    </row>
    <row r="2492" spans="1:4" x14ac:dyDescent="0.35">
      <c r="A2492" t="s">
        <v>2614</v>
      </c>
      <c r="B2492">
        <v>193</v>
      </c>
      <c r="C2492">
        <v>180</v>
      </c>
      <c r="D2492">
        <v>160</v>
      </c>
    </row>
    <row r="2493" spans="1:4" x14ac:dyDescent="0.35">
      <c r="A2493" t="s">
        <v>2615</v>
      </c>
      <c r="B2493">
        <v>294</v>
      </c>
      <c r="C2493">
        <v>550</v>
      </c>
      <c r="D2493">
        <v>0</v>
      </c>
    </row>
    <row r="2494" spans="1:4" x14ac:dyDescent="0.35">
      <c r="A2494" t="s">
        <v>2616</v>
      </c>
      <c r="B2494">
        <v>440</v>
      </c>
      <c r="C2494">
        <v>440</v>
      </c>
      <c r="D2494">
        <v>0</v>
      </c>
    </row>
    <row r="2495" spans="1:4" x14ac:dyDescent="0.35">
      <c r="A2495" t="s">
        <v>2617</v>
      </c>
      <c r="B2495">
        <v>1197</v>
      </c>
      <c r="C2495">
        <v>575</v>
      </c>
      <c r="D2495">
        <v>0</v>
      </c>
    </row>
    <row r="2496" spans="1:4" x14ac:dyDescent="0.35">
      <c r="A2496" t="s">
        <v>2618</v>
      </c>
      <c r="B2496">
        <v>60</v>
      </c>
      <c r="C2496">
        <v>518</v>
      </c>
      <c r="D2496">
        <v>0</v>
      </c>
    </row>
    <row r="2497" spans="1:4" x14ac:dyDescent="0.35">
      <c r="A2497" t="s">
        <v>2619</v>
      </c>
      <c r="B2497">
        <v>703</v>
      </c>
      <c r="C2497">
        <v>580</v>
      </c>
      <c r="D2497">
        <v>400</v>
      </c>
    </row>
    <row r="2498" spans="1:4" x14ac:dyDescent="0.35">
      <c r="A2498" t="s">
        <v>2620</v>
      </c>
      <c r="B2498">
        <v>156</v>
      </c>
      <c r="C2498">
        <v>175</v>
      </c>
      <c r="D2498">
        <v>15</v>
      </c>
    </row>
    <row r="2499" spans="1:4" x14ac:dyDescent="0.35">
      <c r="A2499" t="s">
        <v>2621</v>
      </c>
      <c r="B2499">
        <v>259</v>
      </c>
      <c r="C2499">
        <v>251</v>
      </c>
      <c r="D2499">
        <v>5</v>
      </c>
    </row>
    <row r="2500" spans="1:4" x14ac:dyDescent="0.35">
      <c r="A2500" t="s">
        <v>2622</v>
      </c>
      <c r="B2500">
        <v>84</v>
      </c>
      <c r="C2500">
        <v>82</v>
      </c>
      <c r="D2500">
        <v>148485</v>
      </c>
    </row>
    <row r="2501" spans="1:4" x14ac:dyDescent="0.35">
      <c r="A2501" t="s">
        <v>2623</v>
      </c>
      <c r="B2501">
        <v>125</v>
      </c>
      <c r="C2501">
        <v>125</v>
      </c>
      <c r="D2501">
        <v>93382</v>
      </c>
    </row>
    <row r="2502" spans="1:4" x14ac:dyDescent="0.35">
      <c r="A2502" t="s">
        <v>2624</v>
      </c>
      <c r="B2502">
        <v>688</v>
      </c>
      <c r="C2502">
        <v>575</v>
      </c>
      <c r="D2502">
        <v>913</v>
      </c>
    </row>
    <row r="2503" spans="1:4" x14ac:dyDescent="0.35">
      <c r="A2503" t="s">
        <v>2625</v>
      </c>
      <c r="B2503">
        <v>3055</v>
      </c>
      <c r="C2503">
        <v>3024</v>
      </c>
      <c r="D2503">
        <v>5289</v>
      </c>
    </row>
    <row r="2504" spans="1:4" x14ac:dyDescent="0.35">
      <c r="A2504" t="s">
        <v>2626</v>
      </c>
      <c r="B2504">
        <v>8334</v>
      </c>
      <c r="C2504">
        <v>4076</v>
      </c>
      <c r="D2504">
        <v>1</v>
      </c>
    </row>
    <row r="2505" spans="1:4" x14ac:dyDescent="0.35">
      <c r="A2505" t="s">
        <v>2627</v>
      </c>
      <c r="B2505">
        <v>6000</v>
      </c>
      <c r="C2505">
        <v>3255</v>
      </c>
      <c r="D2505">
        <v>3</v>
      </c>
    </row>
    <row r="2506" spans="1:4" x14ac:dyDescent="0.35">
      <c r="A2506" t="s">
        <v>2628</v>
      </c>
      <c r="B2506">
        <v>1367</v>
      </c>
      <c r="C2506">
        <v>1448</v>
      </c>
      <c r="D2506">
        <v>206</v>
      </c>
    </row>
    <row r="2507" spans="1:4" x14ac:dyDescent="0.35">
      <c r="A2507" t="s">
        <v>2629</v>
      </c>
      <c r="B2507">
        <v>3000</v>
      </c>
      <c r="C2507">
        <v>1808</v>
      </c>
      <c r="D2507">
        <v>2</v>
      </c>
    </row>
    <row r="2508" spans="1:4" x14ac:dyDescent="0.35">
      <c r="A2508" t="s">
        <v>2630</v>
      </c>
      <c r="B2508">
        <v>4000</v>
      </c>
      <c r="C2508">
        <v>2208</v>
      </c>
      <c r="D2508">
        <v>3</v>
      </c>
    </row>
    <row r="2509" spans="1:4" x14ac:dyDescent="0.35">
      <c r="A2509" t="s">
        <v>2631</v>
      </c>
      <c r="B2509">
        <v>1550</v>
      </c>
      <c r="C2509">
        <v>1422</v>
      </c>
      <c r="D2509">
        <v>130</v>
      </c>
    </row>
    <row r="2510" spans="1:4" x14ac:dyDescent="0.35">
      <c r="A2510" t="s">
        <v>2632</v>
      </c>
      <c r="B2510">
        <v>2085</v>
      </c>
      <c r="C2510">
        <v>2000</v>
      </c>
      <c r="D2510">
        <v>1</v>
      </c>
    </row>
    <row r="2511" spans="1:4" x14ac:dyDescent="0.35">
      <c r="A2511" t="s">
        <v>2633</v>
      </c>
      <c r="B2511">
        <v>1560</v>
      </c>
      <c r="C2511">
        <v>1502</v>
      </c>
      <c r="D2511">
        <v>3</v>
      </c>
    </row>
    <row r="2512" spans="1:4" x14ac:dyDescent="0.35">
      <c r="A2512" t="s">
        <v>2634</v>
      </c>
      <c r="B2512">
        <v>742</v>
      </c>
      <c r="C2512">
        <v>612</v>
      </c>
      <c r="D2512">
        <v>263</v>
      </c>
    </row>
    <row r="2513" spans="1:4" x14ac:dyDescent="0.35">
      <c r="A2513" t="s">
        <v>2635</v>
      </c>
      <c r="B2513">
        <v>1005</v>
      </c>
      <c r="C2513">
        <v>1004</v>
      </c>
      <c r="D2513">
        <v>1625</v>
      </c>
    </row>
    <row r="2514" spans="1:4" x14ac:dyDescent="0.35">
      <c r="A2514" t="s">
        <v>2636</v>
      </c>
      <c r="B2514">
        <v>8546</v>
      </c>
      <c r="C2514">
        <v>8420</v>
      </c>
      <c r="D2514">
        <v>5</v>
      </c>
    </row>
    <row r="2515" spans="1:4" x14ac:dyDescent="0.35">
      <c r="A2515" t="s">
        <v>2637</v>
      </c>
      <c r="B2515">
        <v>7400</v>
      </c>
      <c r="C2515">
        <v>7400</v>
      </c>
      <c r="D2515">
        <v>2</v>
      </c>
    </row>
    <row r="2516" spans="1:4" x14ac:dyDescent="0.35">
      <c r="A2516" t="s">
        <v>2638</v>
      </c>
      <c r="B2516">
        <v>533</v>
      </c>
      <c r="C2516">
        <v>267</v>
      </c>
      <c r="D2516">
        <v>7</v>
      </c>
    </row>
    <row r="2517" spans="1:4" x14ac:dyDescent="0.35">
      <c r="A2517" t="s">
        <v>2639</v>
      </c>
      <c r="B2517">
        <v>268</v>
      </c>
      <c r="C2517">
        <v>1</v>
      </c>
      <c r="D2517">
        <v>0</v>
      </c>
    </row>
    <row r="2518" spans="1:4" x14ac:dyDescent="0.35">
      <c r="A2518" t="s">
        <v>2640</v>
      </c>
      <c r="B2518">
        <v>1000</v>
      </c>
      <c r="C2518">
        <v>250</v>
      </c>
      <c r="D2518">
        <v>0</v>
      </c>
    </row>
    <row r="2519" spans="1:4" x14ac:dyDescent="0.35">
      <c r="A2519" t="s">
        <v>2641</v>
      </c>
      <c r="B2519">
        <v>1000</v>
      </c>
      <c r="C2519">
        <v>772</v>
      </c>
      <c r="D2519">
        <v>0</v>
      </c>
    </row>
    <row r="2520" spans="1:4" x14ac:dyDescent="0.35">
      <c r="A2520" t="s">
        <v>2642</v>
      </c>
      <c r="B2520">
        <v>723</v>
      </c>
      <c r="C2520">
        <v>610</v>
      </c>
      <c r="D2520">
        <v>15</v>
      </c>
    </row>
    <row r="2521" spans="1:4" x14ac:dyDescent="0.35">
      <c r="A2521" t="s">
        <v>2643</v>
      </c>
      <c r="B2521">
        <v>310</v>
      </c>
      <c r="C2521">
        <v>341</v>
      </c>
      <c r="D2521">
        <v>4</v>
      </c>
    </row>
    <row r="2522" spans="1:4" x14ac:dyDescent="0.35">
      <c r="A2522" t="s">
        <v>2644</v>
      </c>
      <c r="B2522">
        <v>105</v>
      </c>
      <c r="C2522">
        <v>4</v>
      </c>
      <c r="D2522">
        <v>0</v>
      </c>
    </row>
    <row r="2523" spans="1:4" x14ac:dyDescent="0.35">
      <c r="A2523" t="s">
        <v>2645</v>
      </c>
      <c r="B2523">
        <v>17345</v>
      </c>
      <c r="C2523">
        <v>11000</v>
      </c>
      <c r="D2523">
        <v>0</v>
      </c>
    </row>
    <row r="2524" spans="1:4" x14ac:dyDescent="0.35">
      <c r="A2524" t="s">
        <v>2646</v>
      </c>
      <c r="B2524">
        <v>46969</v>
      </c>
      <c r="C2524">
        <v>40000</v>
      </c>
      <c r="D2524">
        <v>0</v>
      </c>
    </row>
    <row r="2525" spans="1:4" x14ac:dyDescent="0.35">
      <c r="A2525" t="s">
        <v>2647</v>
      </c>
      <c r="B2525">
        <v>1283</v>
      </c>
      <c r="C2525">
        <v>1149</v>
      </c>
      <c r="D2525">
        <v>10</v>
      </c>
    </row>
    <row r="2526" spans="1:4" x14ac:dyDescent="0.35">
      <c r="A2526" t="s">
        <v>2648</v>
      </c>
      <c r="B2526">
        <v>150</v>
      </c>
      <c r="C2526">
        <v>35</v>
      </c>
      <c r="D2526">
        <v>0</v>
      </c>
    </row>
    <row r="2527" spans="1:4" x14ac:dyDescent="0.35">
      <c r="A2527" t="s">
        <v>2649</v>
      </c>
      <c r="B2527">
        <v>87699</v>
      </c>
      <c r="C2527">
        <v>78000</v>
      </c>
      <c r="D2527">
        <v>6</v>
      </c>
    </row>
    <row r="2528" spans="1:4" x14ac:dyDescent="0.35">
      <c r="A2528" t="s">
        <v>2650</v>
      </c>
      <c r="B2528">
        <v>11968</v>
      </c>
      <c r="C2528">
        <v>11968</v>
      </c>
      <c r="D2528">
        <v>1</v>
      </c>
    </row>
    <row r="2529" spans="1:4" x14ac:dyDescent="0.35">
      <c r="A2529" t="s">
        <v>2651</v>
      </c>
      <c r="B2529">
        <v>14469</v>
      </c>
      <c r="C2529">
        <v>15633</v>
      </c>
      <c r="D2529">
        <v>74</v>
      </c>
    </row>
    <row r="2530" spans="1:4" x14ac:dyDescent="0.35">
      <c r="A2530" t="s">
        <v>2652</v>
      </c>
      <c r="B2530">
        <v>14940</v>
      </c>
      <c r="C2530">
        <v>14940</v>
      </c>
      <c r="D2530">
        <v>112</v>
      </c>
    </row>
    <row r="2531" spans="1:4" x14ac:dyDescent="0.35">
      <c r="A2531" t="s">
        <v>2653</v>
      </c>
      <c r="B2531">
        <v>33713</v>
      </c>
      <c r="C2531">
        <v>33713</v>
      </c>
      <c r="D2531">
        <v>245</v>
      </c>
    </row>
    <row r="2532" spans="1:4" x14ac:dyDescent="0.35">
      <c r="A2532" t="s">
        <v>2654</v>
      </c>
      <c r="B2532">
        <v>15292</v>
      </c>
      <c r="C2532">
        <v>15100</v>
      </c>
      <c r="D2532">
        <v>403</v>
      </c>
    </row>
    <row r="2533" spans="1:4" x14ac:dyDescent="0.35">
      <c r="A2533" t="s">
        <v>2655</v>
      </c>
      <c r="B2533">
        <v>111654</v>
      </c>
      <c r="C2533">
        <v>111300</v>
      </c>
      <c r="D2533">
        <v>401</v>
      </c>
    </row>
    <row r="2534" spans="1:4" x14ac:dyDescent="0.35">
      <c r="A2534" t="s">
        <v>2656</v>
      </c>
      <c r="B2534">
        <v>6777</v>
      </c>
      <c r="C2534">
        <v>6365</v>
      </c>
      <c r="D2534">
        <v>460</v>
      </c>
    </row>
    <row r="2535" spans="1:4" x14ac:dyDescent="0.35">
      <c r="A2535" t="s">
        <v>2657</v>
      </c>
      <c r="B2535">
        <v>6099</v>
      </c>
      <c r="C2535">
        <v>5751</v>
      </c>
      <c r="D2535">
        <v>832</v>
      </c>
    </row>
    <row r="2536" spans="1:4" x14ac:dyDescent="0.35">
      <c r="A2536" t="s">
        <v>2658</v>
      </c>
      <c r="B2536">
        <v>248691</v>
      </c>
      <c r="C2536">
        <v>225738</v>
      </c>
      <c r="D2536">
        <v>4</v>
      </c>
    </row>
    <row r="2537" spans="1:4" x14ac:dyDescent="0.35">
      <c r="A2537" t="s">
        <v>2659</v>
      </c>
      <c r="B2537">
        <v>86</v>
      </c>
      <c r="C2537">
        <v>79</v>
      </c>
      <c r="D2537">
        <v>116197</v>
      </c>
    </row>
    <row r="2538" spans="1:4" x14ac:dyDescent="0.35">
      <c r="A2538" t="s">
        <v>2660</v>
      </c>
      <c r="B2538">
        <v>200</v>
      </c>
      <c r="C2538">
        <v>187</v>
      </c>
      <c r="D2538">
        <v>46</v>
      </c>
    </row>
    <row r="2539" spans="1:4" x14ac:dyDescent="0.35">
      <c r="A2539" t="s">
        <v>2661</v>
      </c>
      <c r="B2539">
        <v>1597998</v>
      </c>
      <c r="C2539">
        <v>1554594</v>
      </c>
      <c r="D2539">
        <v>0</v>
      </c>
    </row>
    <row r="2540" spans="1:4" x14ac:dyDescent="0.35">
      <c r="A2540" t="s">
        <v>2662</v>
      </c>
      <c r="B2540">
        <v>13086</v>
      </c>
      <c r="C2540">
        <v>11850</v>
      </c>
      <c r="D2540">
        <v>0</v>
      </c>
    </row>
    <row r="2541" spans="1:4" x14ac:dyDescent="0.35">
      <c r="A2541" t="s">
        <v>2663</v>
      </c>
      <c r="B2541">
        <v>480</v>
      </c>
      <c r="C2541">
        <v>461</v>
      </c>
      <c r="D2541">
        <v>523</v>
      </c>
    </row>
    <row r="2542" spans="1:4" x14ac:dyDescent="0.35">
      <c r="A2542" t="s">
        <v>2664</v>
      </c>
      <c r="B2542">
        <v>5539764</v>
      </c>
      <c r="C2542">
        <v>5568045</v>
      </c>
      <c r="D2542">
        <v>0</v>
      </c>
    </row>
    <row r="2543" spans="1:4" x14ac:dyDescent="0.35">
      <c r="A2543" t="s">
        <v>2665</v>
      </c>
      <c r="B2543">
        <v>37970</v>
      </c>
      <c r="C2543">
        <v>34600</v>
      </c>
      <c r="D2543">
        <v>2</v>
      </c>
    </row>
    <row r="2544" spans="1:4" x14ac:dyDescent="0.35">
      <c r="A2544" t="s">
        <v>2666</v>
      </c>
      <c r="B2544">
        <v>1005</v>
      </c>
      <c r="C2544">
        <v>200</v>
      </c>
      <c r="D2544">
        <v>112</v>
      </c>
    </row>
    <row r="2545" spans="1:4" x14ac:dyDescent="0.35">
      <c r="A2545" t="s">
        <v>2667</v>
      </c>
      <c r="B2545">
        <v>393</v>
      </c>
      <c r="C2545">
        <v>148</v>
      </c>
      <c r="D2545">
        <v>9</v>
      </c>
    </row>
    <row r="2546" spans="1:4" x14ac:dyDescent="0.35">
      <c r="A2546" t="s">
        <v>2668</v>
      </c>
      <c r="B2546">
        <v>160</v>
      </c>
      <c r="C2546">
        <v>158</v>
      </c>
      <c r="D2546">
        <v>5926</v>
      </c>
    </row>
    <row r="2547" spans="1:4" x14ac:dyDescent="0.35">
      <c r="A2547" t="s">
        <v>2669</v>
      </c>
      <c r="B2547">
        <v>525000</v>
      </c>
      <c r="C2547">
        <v>497556</v>
      </c>
      <c r="D2547">
        <v>1</v>
      </c>
    </row>
    <row r="2548" spans="1:4" x14ac:dyDescent="0.35">
      <c r="A2548" t="s">
        <v>2670</v>
      </c>
      <c r="B2548">
        <v>287</v>
      </c>
      <c r="C2548">
        <v>287</v>
      </c>
      <c r="D2548">
        <v>21470</v>
      </c>
    </row>
    <row r="2549" spans="1:4" x14ac:dyDescent="0.35">
      <c r="A2549" t="s">
        <v>2671</v>
      </c>
      <c r="B2549">
        <v>69999</v>
      </c>
      <c r="C2549">
        <v>17500</v>
      </c>
      <c r="D2549">
        <v>1</v>
      </c>
    </row>
    <row r="2550" spans="1:4" x14ac:dyDescent="0.35">
      <c r="A2550" t="s">
        <v>2672</v>
      </c>
      <c r="B2550">
        <v>2000</v>
      </c>
      <c r="C2550">
        <v>981</v>
      </c>
      <c r="D2550">
        <v>0</v>
      </c>
    </row>
    <row r="2551" spans="1:4" x14ac:dyDescent="0.35">
      <c r="A2551" t="s">
        <v>2673</v>
      </c>
      <c r="B2551">
        <v>810</v>
      </c>
      <c r="C2551">
        <v>652</v>
      </c>
      <c r="D2551">
        <v>195</v>
      </c>
    </row>
    <row r="2552" spans="1:4" x14ac:dyDescent="0.35">
      <c r="A2552" t="s">
        <v>2674</v>
      </c>
      <c r="B2552">
        <v>3595</v>
      </c>
      <c r="C2552">
        <v>3480</v>
      </c>
      <c r="D2552">
        <v>2</v>
      </c>
    </row>
    <row r="2553" spans="1:4" x14ac:dyDescent="0.35">
      <c r="A2553" t="s">
        <v>2675</v>
      </c>
      <c r="B2553">
        <v>422</v>
      </c>
      <c r="C2553">
        <v>401</v>
      </c>
      <c r="D2553">
        <v>114</v>
      </c>
    </row>
    <row r="2554" spans="1:4" x14ac:dyDescent="0.35">
      <c r="A2554" t="s">
        <v>2676</v>
      </c>
      <c r="B2554">
        <v>275</v>
      </c>
      <c r="C2554">
        <v>265</v>
      </c>
      <c r="D2554">
        <v>65350</v>
      </c>
    </row>
    <row r="2555" spans="1:4" x14ac:dyDescent="0.35">
      <c r="A2555" t="s">
        <v>2677</v>
      </c>
      <c r="B2555">
        <v>1</v>
      </c>
      <c r="C2555">
        <v>135</v>
      </c>
      <c r="D2555">
        <v>0</v>
      </c>
    </row>
    <row r="2556" spans="1:4" x14ac:dyDescent="0.35">
      <c r="A2556" t="s">
        <v>2678</v>
      </c>
      <c r="B2556">
        <v>42760</v>
      </c>
      <c r="C2556">
        <v>40000</v>
      </c>
      <c r="D2556">
        <v>0</v>
      </c>
    </row>
    <row r="2557" spans="1:4" x14ac:dyDescent="0.35">
      <c r="A2557" t="s">
        <v>2679</v>
      </c>
      <c r="B2557">
        <v>100000</v>
      </c>
      <c r="C2557">
        <v>5494</v>
      </c>
      <c r="D2557">
        <v>0</v>
      </c>
    </row>
    <row r="2558" spans="1:4" x14ac:dyDescent="0.35">
      <c r="A2558" t="s">
        <v>2680</v>
      </c>
      <c r="B2558">
        <v>125000</v>
      </c>
      <c r="C2558">
        <v>106412</v>
      </c>
      <c r="D2558">
        <v>0</v>
      </c>
    </row>
    <row r="2559" spans="1:4" x14ac:dyDescent="0.35">
      <c r="A2559" t="s">
        <v>2681</v>
      </c>
      <c r="B2559">
        <v>1405</v>
      </c>
      <c r="C2559">
        <v>1405</v>
      </c>
      <c r="D2559">
        <v>225</v>
      </c>
    </row>
    <row r="2560" spans="1:4" x14ac:dyDescent="0.35">
      <c r="A2560" t="s">
        <v>2682</v>
      </c>
      <c r="B2560">
        <v>2000</v>
      </c>
      <c r="C2560">
        <v>1727</v>
      </c>
      <c r="D2560">
        <v>0</v>
      </c>
    </row>
    <row r="2561" spans="1:4" x14ac:dyDescent="0.35">
      <c r="A2561" t="s">
        <v>2683</v>
      </c>
      <c r="B2561">
        <v>2997</v>
      </c>
      <c r="C2561">
        <v>2996</v>
      </c>
      <c r="D2561">
        <v>330</v>
      </c>
    </row>
    <row r="2562" spans="1:4" x14ac:dyDescent="0.35">
      <c r="A2562" t="s">
        <v>2684</v>
      </c>
      <c r="B2562">
        <v>0</v>
      </c>
      <c r="C2562">
        <v>0</v>
      </c>
      <c r="D2562">
        <v>0</v>
      </c>
    </row>
    <row r="2563" spans="1:4" x14ac:dyDescent="0.35">
      <c r="A2563" t="s">
        <v>2685</v>
      </c>
      <c r="C2563">
        <v>20001</v>
      </c>
      <c r="D2563">
        <v>0</v>
      </c>
    </row>
    <row r="2564" spans="1:4" x14ac:dyDescent="0.35">
      <c r="A2564" t="s">
        <v>2686</v>
      </c>
      <c r="B2564">
        <v>0</v>
      </c>
      <c r="C2564">
        <v>0</v>
      </c>
      <c r="D2564">
        <v>0</v>
      </c>
    </row>
    <row r="2565" spans="1:4" x14ac:dyDescent="0.35">
      <c r="A2565" t="s">
        <v>2687</v>
      </c>
      <c r="B2565">
        <v>0</v>
      </c>
      <c r="C2565">
        <v>0</v>
      </c>
      <c r="D2565">
        <v>0</v>
      </c>
    </row>
    <row r="2566" spans="1:4" x14ac:dyDescent="0.35">
      <c r="A2566" t="s">
        <v>2688</v>
      </c>
      <c r="B2566">
        <v>0</v>
      </c>
      <c r="C2566">
        <v>0</v>
      </c>
      <c r="D2566">
        <v>0</v>
      </c>
    </row>
    <row r="2567" spans="1:4" x14ac:dyDescent="0.35">
      <c r="A2567" t="s">
        <v>110</v>
      </c>
      <c r="B2567">
        <v>350</v>
      </c>
      <c r="C2567">
        <v>341</v>
      </c>
      <c r="D2567">
        <v>7897</v>
      </c>
    </row>
    <row r="2568" spans="1:4" x14ac:dyDescent="0.35">
      <c r="A2568" t="s">
        <v>2689</v>
      </c>
      <c r="B2568">
        <v>2727</v>
      </c>
      <c r="C2568">
        <v>3100</v>
      </c>
      <c r="D2568">
        <v>2</v>
      </c>
    </row>
    <row r="2569" spans="1:4" x14ac:dyDescent="0.35">
      <c r="A2569" t="s">
        <v>2690</v>
      </c>
      <c r="B2569">
        <v>1600</v>
      </c>
      <c r="C2569">
        <v>746</v>
      </c>
      <c r="D2569">
        <v>1</v>
      </c>
    </row>
    <row r="2570" spans="1:4" x14ac:dyDescent="0.35">
      <c r="A2570" t="s">
        <v>2691</v>
      </c>
      <c r="B2570">
        <v>16999</v>
      </c>
      <c r="C2570">
        <v>16171</v>
      </c>
      <c r="D2570">
        <v>291</v>
      </c>
    </row>
    <row r="2571" spans="1:4" x14ac:dyDescent="0.35">
      <c r="A2571" t="s">
        <v>2692</v>
      </c>
      <c r="B2571">
        <v>1434</v>
      </c>
      <c r="C2571">
        <v>1368</v>
      </c>
      <c r="D2571">
        <v>516</v>
      </c>
    </row>
    <row r="2572" spans="1:4" x14ac:dyDescent="0.35">
      <c r="A2572" t="s">
        <v>2693</v>
      </c>
      <c r="B2572">
        <v>20</v>
      </c>
      <c r="C2572">
        <v>20</v>
      </c>
      <c r="D2572">
        <v>1</v>
      </c>
    </row>
    <row r="2573" spans="1:4" x14ac:dyDescent="0.35">
      <c r="A2573" t="s">
        <v>2694</v>
      </c>
      <c r="B2573">
        <v>52983</v>
      </c>
      <c r="C2573">
        <v>60000</v>
      </c>
      <c r="D2573">
        <v>9</v>
      </c>
    </row>
    <row r="2574" spans="1:4" x14ac:dyDescent="0.35">
      <c r="A2574" t="s">
        <v>2695</v>
      </c>
      <c r="B2574">
        <v>965</v>
      </c>
      <c r="C2574">
        <v>200</v>
      </c>
      <c r="D2574">
        <v>1</v>
      </c>
    </row>
    <row r="2575" spans="1:4" x14ac:dyDescent="0.35">
      <c r="A2575" t="s">
        <v>2696</v>
      </c>
      <c r="B2575">
        <v>103</v>
      </c>
      <c r="C2575">
        <v>96</v>
      </c>
      <c r="D2575">
        <v>68613</v>
      </c>
    </row>
    <row r="2576" spans="1:4" x14ac:dyDescent="0.35">
      <c r="A2576" t="s">
        <v>2697</v>
      </c>
      <c r="B2576">
        <v>11998</v>
      </c>
      <c r="C2576">
        <v>7887</v>
      </c>
      <c r="D2576">
        <v>31</v>
      </c>
    </row>
    <row r="2577" spans="1:4" x14ac:dyDescent="0.35">
      <c r="A2577" t="s">
        <v>2698</v>
      </c>
      <c r="B2577">
        <v>2000000</v>
      </c>
      <c r="C2577">
        <v>1900000</v>
      </c>
      <c r="D2577">
        <v>0</v>
      </c>
    </row>
    <row r="2578" spans="1:4" x14ac:dyDescent="0.35">
      <c r="A2578" t="s">
        <v>2699</v>
      </c>
      <c r="B2578">
        <v>625000</v>
      </c>
      <c r="C2578">
        <v>400000</v>
      </c>
      <c r="D2578">
        <v>0</v>
      </c>
    </row>
    <row r="2579" spans="1:4" x14ac:dyDescent="0.35">
      <c r="A2579" t="s">
        <v>2700</v>
      </c>
      <c r="B2579">
        <v>398498</v>
      </c>
      <c r="C2579">
        <v>270001</v>
      </c>
      <c r="D2579">
        <v>0</v>
      </c>
    </row>
    <row r="2580" spans="1:4" x14ac:dyDescent="0.35">
      <c r="A2580" t="s">
        <v>2701</v>
      </c>
      <c r="B2580">
        <v>1291613</v>
      </c>
      <c r="C2580">
        <v>1650000</v>
      </c>
      <c r="D2580">
        <v>0</v>
      </c>
    </row>
    <row r="2581" spans="1:4" x14ac:dyDescent="0.35">
      <c r="A2581" t="s">
        <v>2702</v>
      </c>
      <c r="B2581">
        <v>1050000</v>
      </c>
      <c r="C2581">
        <v>852000</v>
      </c>
      <c r="D2581">
        <v>0</v>
      </c>
    </row>
    <row r="2582" spans="1:4" x14ac:dyDescent="0.35">
      <c r="A2582" t="s">
        <v>2703</v>
      </c>
      <c r="B2582">
        <v>134</v>
      </c>
      <c r="C2582">
        <v>122</v>
      </c>
      <c r="D2582">
        <v>77</v>
      </c>
    </row>
    <row r="2583" spans="1:4" x14ac:dyDescent="0.35">
      <c r="A2583" t="s">
        <v>2704</v>
      </c>
      <c r="B2583">
        <v>306</v>
      </c>
      <c r="C2583">
        <v>494</v>
      </c>
      <c r="D2583">
        <v>0</v>
      </c>
    </row>
    <row r="2584" spans="1:4" x14ac:dyDescent="0.35">
      <c r="A2584" t="s">
        <v>2705</v>
      </c>
      <c r="B2584">
        <v>8130</v>
      </c>
      <c r="C2584">
        <v>9000</v>
      </c>
      <c r="D2584">
        <v>36</v>
      </c>
    </row>
    <row r="2585" spans="1:4" x14ac:dyDescent="0.35">
      <c r="A2585" t="s">
        <v>2706</v>
      </c>
      <c r="B2585">
        <v>1168</v>
      </c>
      <c r="C2585">
        <v>974</v>
      </c>
      <c r="D2585">
        <v>30</v>
      </c>
    </row>
    <row r="2586" spans="1:4" x14ac:dyDescent="0.35">
      <c r="A2586" t="s">
        <v>2707</v>
      </c>
      <c r="B2586">
        <v>200</v>
      </c>
      <c r="C2586">
        <v>97</v>
      </c>
      <c r="D2586">
        <v>220</v>
      </c>
    </row>
    <row r="2587" spans="1:4" x14ac:dyDescent="0.35">
      <c r="A2587" t="s">
        <v>2708</v>
      </c>
      <c r="B2587">
        <v>202276</v>
      </c>
      <c r="C2587">
        <v>131629</v>
      </c>
      <c r="D2587">
        <v>5</v>
      </c>
    </row>
    <row r="2588" spans="1:4" x14ac:dyDescent="0.35">
      <c r="A2588" t="s">
        <v>2709</v>
      </c>
      <c r="B2588">
        <v>10628</v>
      </c>
      <c r="C2588">
        <v>9999</v>
      </c>
      <c r="D2588">
        <v>1</v>
      </c>
    </row>
    <row r="2589" spans="1:4" x14ac:dyDescent="0.35">
      <c r="A2589" t="s">
        <v>2710</v>
      </c>
      <c r="B2589">
        <v>54000</v>
      </c>
      <c r="C2589">
        <v>25101</v>
      </c>
      <c r="D2589">
        <v>0</v>
      </c>
    </row>
    <row r="2590" spans="1:4" x14ac:dyDescent="0.35">
      <c r="A2590" t="s">
        <v>2711</v>
      </c>
      <c r="B2590">
        <v>76</v>
      </c>
      <c r="C2590">
        <v>30</v>
      </c>
      <c r="D2590">
        <v>0</v>
      </c>
    </row>
    <row r="2591" spans="1:4" x14ac:dyDescent="0.35">
      <c r="A2591" t="s">
        <v>2712</v>
      </c>
      <c r="B2591">
        <v>26005</v>
      </c>
      <c r="C2591">
        <v>25091</v>
      </c>
      <c r="D2591">
        <v>1039</v>
      </c>
    </row>
    <row r="2592" spans="1:4" x14ac:dyDescent="0.35">
      <c r="A2592" t="s">
        <v>2713</v>
      </c>
      <c r="B2592">
        <v>5581</v>
      </c>
      <c r="C2592">
        <v>5525</v>
      </c>
      <c r="D2592">
        <v>156</v>
      </c>
    </row>
    <row r="2593" spans="1:4" x14ac:dyDescent="0.35">
      <c r="A2593" t="s">
        <v>2714</v>
      </c>
      <c r="B2593">
        <v>94970</v>
      </c>
      <c r="C2593">
        <v>90270</v>
      </c>
      <c r="D2593">
        <v>16</v>
      </c>
    </row>
    <row r="2594" spans="1:4" x14ac:dyDescent="0.35">
      <c r="A2594" t="s">
        <v>2715</v>
      </c>
      <c r="B2594">
        <v>49196</v>
      </c>
      <c r="C2594">
        <v>37007</v>
      </c>
      <c r="D2594">
        <v>1</v>
      </c>
    </row>
    <row r="2595" spans="1:4" x14ac:dyDescent="0.35">
      <c r="A2595" t="s">
        <v>2716</v>
      </c>
      <c r="B2595">
        <v>13277</v>
      </c>
      <c r="C2595">
        <v>11832</v>
      </c>
      <c r="D2595">
        <v>6</v>
      </c>
    </row>
    <row r="2596" spans="1:4" x14ac:dyDescent="0.35">
      <c r="A2596" t="s">
        <v>2717</v>
      </c>
      <c r="B2596">
        <v>44968</v>
      </c>
      <c r="C2596">
        <v>35001</v>
      </c>
      <c r="D2596">
        <v>3</v>
      </c>
    </row>
    <row r="2597" spans="1:4" x14ac:dyDescent="0.35">
      <c r="A2597" t="s">
        <v>2718</v>
      </c>
      <c r="B2597">
        <v>24949</v>
      </c>
      <c r="C2597">
        <v>24959</v>
      </c>
      <c r="D2597">
        <v>645</v>
      </c>
    </row>
    <row r="2598" spans="1:4" x14ac:dyDescent="0.35">
      <c r="A2598" t="s">
        <v>2719</v>
      </c>
      <c r="B2598">
        <v>25815</v>
      </c>
      <c r="C2598">
        <v>25016</v>
      </c>
      <c r="D2598">
        <v>260</v>
      </c>
    </row>
    <row r="2599" spans="1:4" x14ac:dyDescent="0.35">
      <c r="A2599" t="s">
        <v>2720</v>
      </c>
      <c r="B2599">
        <v>6100</v>
      </c>
      <c r="C2599">
        <v>5800</v>
      </c>
      <c r="D2599">
        <v>75</v>
      </c>
    </row>
    <row r="2600" spans="1:4" x14ac:dyDescent="0.35">
      <c r="A2600" t="s">
        <v>2721</v>
      </c>
      <c r="B2600">
        <v>6295</v>
      </c>
      <c r="C2600">
        <v>5250</v>
      </c>
      <c r="D2600">
        <v>5</v>
      </c>
    </row>
    <row r="2601" spans="1:4" x14ac:dyDescent="0.35">
      <c r="A2601" t="s">
        <v>2722</v>
      </c>
      <c r="B2601">
        <v>129000</v>
      </c>
      <c r="C2601">
        <v>52467</v>
      </c>
      <c r="D2601">
        <v>0</v>
      </c>
    </row>
    <row r="2602" spans="1:4" x14ac:dyDescent="0.35">
      <c r="A2602" t="s">
        <v>2723</v>
      </c>
      <c r="B2602">
        <v>12133</v>
      </c>
      <c r="C2602">
        <v>12555</v>
      </c>
      <c r="D2602">
        <v>5</v>
      </c>
    </row>
    <row r="2603" spans="1:4" x14ac:dyDescent="0.35">
      <c r="A2603" t="s">
        <v>2724</v>
      </c>
      <c r="B2603">
        <v>15492</v>
      </c>
      <c r="C2603">
        <v>14852</v>
      </c>
      <c r="D2603">
        <v>68</v>
      </c>
    </row>
    <row r="2604" spans="1:4" x14ac:dyDescent="0.35">
      <c r="A2604" t="s">
        <v>2725</v>
      </c>
      <c r="B2604">
        <v>98000</v>
      </c>
      <c r="C2604">
        <v>91745</v>
      </c>
      <c r="D2604">
        <v>3</v>
      </c>
    </row>
    <row r="2605" spans="1:4" x14ac:dyDescent="0.35">
      <c r="A2605" t="s">
        <v>2726</v>
      </c>
      <c r="B2605">
        <v>38000</v>
      </c>
      <c r="C2605">
        <v>32111</v>
      </c>
      <c r="D2605">
        <v>1</v>
      </c>
    </row>
    <row r="2606" spans="1:4" x14ac:dyDescent="0.35">
      <c r="A2606" t="s">
        <v>2727</v>
      </c>
      <c r="B2606">
        <v>8474</v>
      </c>
      <c r="C2606">
        <v>8250</v>
      </c>
      <c r="D2606">
        <v>8</v>
      </c>
    </row>
    <row r="2607" spans="1:4" x14ac:dyDescent="0.35">
      <c r="A2607" t="s">
        <v>2728</v>
      </c>
      <c r="B2607">
        <v>26067</v>
      </c>
      <c r="C2607">
        <v>26067</v>
      </c>
      <c r="D2607">
        <v>161</v>
      </c>
    </row>
    <row r="2608" spans="1:4" x14ac:dyDescent="0.35">
      <c r="A2608" t="s">
        <v>2729</v>
      </c>
      <c r="B2608">
        <v>152800</v>
      </c>
      <c r="C2608">
        <v>142000</v>
      </c>
      <c r="D2608">
        <v>6</v>
      </c>
    </row>
    <row r="2609" spans="1:4" x14ac:dyDescent="0.35">
      <c r="A2609" t="s">
        <v>2730</v>
      </c>
      <c r="B2609">
        <v>109685</v>
      </c>
      <c r="C2609">
        <v>98226</v>
      </c>
      <c r="D2609">
        <v>4</v>
      </c>
    </row>
    <row r="2610" spans="1:4" x14ac:dyDescent="0.35">
      <c r="A2610" t="s">
        <v>2731</v>
      </c>
      <c r="B2610">
        <v>48609</v>
      </c>
      <c r="C2610">
        <v>47314</v>
      </c>
      <c r="D2610">
        <v>345</v>
      </c>
    </row>
    <row r="2611" spans="1:4" x14ac:dyDescent="0.35">
      <c r="A2611" t="s">
        <v>2732</v>
      </c>
      <c r="B2611">
        <v>48700</v>
      </c>
      <c r="C2611">
        <v>47122</v>
      </c>
      <c r="D2611">
        <v>30</v>
      </c>
    </row>
    <row r="2612" spans="1:4" x14ac:dyDescent="0.35">
      <c r="A2612" t="s">
        <v>2733</v>
      </c>
      <c r="B2612">
        <v>77422</v>
      </c>
      <c r="C2612">
        <v>69000</v>
      </c>
      <c r="D2612">
        <v>2</v>
      </c>
    </row>
    <row r="2613" spans="1:4" x14ac:dyDescent="0.35">
      <c r="A2613" t="s">
        <v>2734</v>
      </c>
      <c r="B2613">
        <v>47468</v>
      </c>
      <c r="C2613">
        <v>47101</v>
      </c>
      <c r="D2613">
        <v>8</v>
      </c>
    </row>
    <row r="2614" spans="1:4" x14ac:dyDescent="0.35">
      <c r="A2614" t="s">
        <v>2735</v>
      </c>
      <c r="B2614">
        <v>73497</v>
      </c>
      <c r="C2614">
        <v>71380</v>
      </c>
      <c r="D2614">
        <v>245</v>
      </c>
    </row>
    <row r="2615" spans="1:4" x14ac:dyDescent="0.35">
      <c r="A2615" t="s">
        <v>2736</v>
      </c>
      <c r="B2615">
        <v>72096</v>
      </c>
      <c r="C2615">
        <v>71155</v>
      </c>
      <c r="D2615">
        <v>29</v>
      </c>
    </row>
    <row r="2616" spans="1:4" x14ac:dyDescent="0.35">
      <c r="A2616" t="s">
        <v>2737</v>
      </c>
      <c r="B2616">
        <v>84866</v>
      </c>
      <c r="C2616">
        <v>84514</v>
      </c>
      <c r="D2616">
        <v>1</v>
      </c>
    </row>
    <row r="2617" spans="1:4" x14ac:dyDescent="0.35">
      <c r="A2617" t="s">
        <v>2738</v>
      </c>
      <c r="B2617">
        <v>71840</v>
      </c>
      <c r="C2617">
        <v>71201</v>
      </c>
      <c r="D2617">
        <v>15</v>
      </c>
    </row>
    <row r="2618" spans="1:4" x14ac:dyDescent="0.35">
      <c r="A2618" t="s">
        <v>2739</v>
      </c>
      <c r="B2618">
        <v>174444</v>
      </c>
      <c r="C2618">
        <v>162594</v>
      </c>
      <c r="D2618">
        <v>12</v>
      </c>
    </row>
    <row r="2619" spans="1:4" x14ac:dyDescent="0.35">
      <c r="A2619" t="s">
        <v>2740</v>
      </c>
      <c r="B2619">
        <v>336666</v>
      </c>
      <c r="C2619">
        <v>314109</v>
      </c>
      <c r="D2619">
        <v>7</v>
      </c>
    </row>
    <row r="2620" spans="1:4" x14ac:dyDescent="0.35">
      <c r="A2620" t="s">
        <v>2741</v>
      </c>
      <c r="B2620">
        <v>390000</v>
      </c>
      <c r="C2620">
        <v>370776</v>
      </c>
      <c r="D2620">
        <v>1</v>
      </c>
    </row>
    <row r="2621" spans="1:4" x14ac:dyDescent="0.35">
      <c r="A2621" t="s">
        <v>2742</v>
      </c>
      <c r="B2621">
        <v>169490</v>
      </c>
      <c r="C2621">
        <v>152606</v>
      </c>
      <c r="D2621">
        <v>7</v>
      </c>
    </row>
    <row r="2622" spans="1:4" x14ac:dyDescent="0.35">
      <c r="A2622" t="s">
        <v>2743</v>
      </c>
      <c r="B2622">
        <v>2760834</v>
      </c>
      <c r="C2622">
        <v>2620908</v>
      </c>
      <c r="D2622">
        <v>26</v>
      </c>
    </row>
    <row r="2623" spans="1:4" x14ac:dyDescent="0.35">
      <c r="A2623" t="s">
        <v>2744</v>
      </c>
      <c r="B2623">
        <v>83250</v>
      </c>
      <c r="C2623">
        <v>70001</v>
      </c>
      <c r="D2623">
        <v>4</v>
      </c>
    </row>
    <row r="2624" spans="1:4" x14ac:dyDescent="0.35">
      <c r="A2624" t="s">
        <v>2745</v>
      </c>
      <c r="B2624">
        <v>24998</v>
      </c>
      <c r="C2624">
        <v>24967</v>
      </c>
      <c r="D2624">
        <v>187</v>
      </c>
    </row>
    <row r="2625" spans="1:4" x14ac:dyDescent="0.35">
      <c r="A2625" t="s">
        <v>2746</v>
      </c>
      <c r="B2625">
        <v>235</v>
      </c>
      <c r="C2625">
        <v>222</v>
      </c>
      <c r="D2625">
        <v>7</v>
      </c>
    </row>
    <row r="2626" spans="1:4" x14ac:dyDescent="0.35">
      <c r="A2626" t="s">
        <v>2747</v>
      </c>
      <c r="B2626">
        <v>32824</v>
      </c>
      <c r="C2626">
        <v>31506</v>
      </c>
      <c r="D2626">
        <v>282</v>
      </c>
    </row>
    <row r="2627" spans="1:4" x14ac:dyDescent="0.35">
      <c r="A2627" t="s">
        <v>2748</v>
      </c>
      <c r="B2627">
        <v>1249999</v>
      </c>
      <c r="C2627">
        <v>1086494</v>
      </c>
      <c r="D2627">
        <v>1</v>
      </c>
    </row>
    <row r="2628" spans="1:4" x14ac:dyDescent="0.35">
      <c r="A2628" t="s">
        <v>2749</v>
      </c>
      <c r="B2628">
        <v>33</v>
      </c>
      <c r="C2628">
        <v>3</v>
      </c>
      <c r="D2628">
        <v>45</v>
      </c>
    </row>
    <row r="2629" spans="1:4" x14ac:dyDescent="0.35">
      <c r="A2629" t="s">
        <v>2750</v>
      </c>
      <c r="B2629">
        <v>325</v>
      </c>
      <c r="C2629">
        <v>325</v>
      </c>
      <c r="D2629">
        <v>32</v>
      </c>
    </row>
    <row r="2630" spans="1:4" x14ac:dyDescent="0.35">
      <c r="A2630" t="s">
        <v>2751</v>
      </c>
      <c r="B2630">
        <v>4139</v>
      </c>
      <c r="C2630">
        <v>4139</v>
      </c>
      <c r="D2630">
        <v>598</v>
      </c>
    </row>
    <row r="2631" spans="1:4" x14ac:dyDescent="0.35">
      <c r="A2631" t="s">
        <v>2752</v>
      </c>
      <c r="B2631">
        <v>877</v>
      </c>
      <c r="C2631">
        <v>805</v>
      </c>
      <c r="D2631">
        <v>0</v>
      </c>
    </row>
    <row r="2632" spans="1:4" x14ac:dyDescent="0.35">
      <c r="A2632" t="s">
        <v>2753</v>
      </c>
      <c r="B2632">
        <v>99</v>
      </c>
      <c r="C2632">
        <v>98</v>
      </c>
      <c r="D2632">
        <v>718944</v>
      </c>
    </row>
    <row r="2633" spans="1:4" x14ac:dyDescent="0.35">
      <c r="A2633" t="s">
        <v>2754</v>
      </c>
      <c r="B2633">
        <v>189</v>
      </c>
      <c r="C2633">
        <v>188</v>
      </c>
      <c r="D2633">
        <v>24</v>
      </c>
    </row>
    <row r="2634" spans="1:4" x14ac:dyDescent="0.35">
      <c r="A2634" t="s">
        <v>2755</v>
      </c>
      <c r="B2634">
        <v>99</v>
      </c>
      <c r="C2634">
        <v>25</v>
      </c>
      <c r="D2634">
        <v>284</v>
      </c>
    </row>
    <row r="2635" spans="1:4" x14ac:dyDescent="0.35">
      <c r="A2635" t="s">
        <v>2756</v>
      </c>
      <c r="B2635">
        <v>1892</v>
      </c>
      <c r="C2635">
        <v>5001</v>
      </c>
      <c r="D2635">
        <v>0</v>
      </c>
    </row>
    <row r="2636" spans="1:4" x14ac:dyDescent="0.35">
      <c r="A2636" t="s">
        <v>2757</v>
      </c>
      <c r="B2636">
        <v>609</v>
      </c>
      <c r="C2636">
        <v>609</v>
      </c>
      <c r="D2636">
        <v>13</v>
      </c>
    </row>
    <row r="2637" spans="1:4" x14ac:dyDescent="0.35">
      <c r="A2637" t="s">
        <v>2758</v>
      </c>
      <c r="B2637">
        <v>21897697</v>
      </c>
      <c r="C2637">
        <v>21300000</v>
      </c>
      <c r="D2637">
        <v>59</v>
      </c>
    </row>
    <row r="2638" spans="1:4" x14ac:dyDescent="0.35">
      <c r="A2638" t="s">
        <v>2759</v>
      </c>
      <c r="B2638">
        <v>2699</v>
      </c>
      <c r="C2638">
        <v>1950</v>
      </c>
      <c r="D2638">
        <v>0</v>
      </c>
    </row>
    <row r="2639" spans="1:4" x14ac:dyDescent="0.35">
      <c r="A2639" t="s">
        <v>2760</v>
      </c>
      <c r="B2639">
        <v>940</v>
      </c>
      <c r="C2639">
        <v>940</v>
      </c>
      <c r="D2639">
        <v>184</v>
      </c>
    </row>
    <row r="2640" spans="1:4" x14ac:dyDescent="0.35">
      <c r="A2640" t="s">
        <v>2761</v>
      </c>
      <c r="B2640">
        <v>35</v>
      </c>
      <c r="C2640">
        <v>31</v>
      </c>
      <c r="D2640">
        <v>113</v>
      </c>
    </row>
    <row r="2641" spans="1:4" x14ac:dyDescent="0.35">
      <c r="A2641" t="s">
        <v>2762</v>
      </c>
      <c r="B2641">
        <v>2375</v>
      </c>
      <c r="C2641">
        <v>1650</v>
      </c>
      <c r="D2641">
        <v>26</v>
      </c>
    </row>
    <row r="2642" spans="1:4" x14ac:dyDescent="0.35">
      <c r="A2642" t="s">
        <v>2763</v>
      </c>
      <c r="B2642">
        <v>10561</v>
      </c>
      <c r="C2642">
        <v>4500</v>
      </c>
      <c r="D2642">
        <v>1</v>
      </c>
    </row>
    <row r="2643" spans="1:4" x14ac:dyDescent="0.35">
      <c r="A2643" t="s">
        <v>2764</v>
      </c>
      <c r="B2643">
        <v>1399</v>
      </c>
      <c r="C2643">
        <v>1220</v>
      </c>
      <c r="D2643">
        <v>15</v>
      </c>
    </row>
    <row r="2644" spans="1:4" x14ac:dyDescent="0.35">
      <c r="A2644" t="s">
        <v>2765</v>
      </c>
      <c r="B2644">
        <v>47119186</v>
      </c>
      <c r="C2644">
        <v>46004384</v>
      </c>
      <c r="D2644">
        <v>17</v>
      </c>
    </row>
    <row r="2645" spans="1:4" x14ac:dyDescent="0.35">
      <c r="A2645" t="s">
        <v>182</v>
      </c>
      <c r="B2645">
        <v>7795</v>
      </c>
      <c r="C2645">
        <v>7439</v>
      </c>
      <c r="D2645">
        <v>4860</v>
      </c>
    </row>
    <row r="2646" spans="1:4" x14ac:dyDescent="0.35">
      <c r="A2646" t="s">
        <v>2766</v>
      </c>
      <c r="B2646">
        <v>348000000</v>
      </c>
      <c r="C2646">
        <v>346630000</v>
      </c>
      <c r="D2646">
        <v>0</v>
      </c>
    </row>
    <row r="2647" spans="1:4" x14ac:dyDescent="0.35">
      <c r="A2647" t="s">
        <v>2767</v>
      </c>
      <c r="B2647">
        <v>7425</v>
      </c>
      <c r="C2647">
        <v>7413</v>
      </c>
      <c r="D2647">
        <v>1280</v>
      </c>
    </row>
    <row r="2648" spans="1:4" x14ac:dyDescent="0.35">
      <c r="A2648" t="s">
        <v>2768</v>
      </c>
      <c r="B2648">
        <v>0</v>
      </c>
      <c r="C2648">
        <v>0</v>
      </c>
      <c r="D2648">
        <v>0</v>
      </c>
    </row>
    <row r="2649" spans="1:4" x14ac:dyDescent="0.35">
      <c r="A2649" t="s">
        <v>2769</v>
      </c>
      <c r="B2649">
        <v>37386</v>
      </c>
      <c r="C2649">
        <v>37000</v>
      </c>
      <c r="D2649">
        <v>1032</v>
      </c>
    </row>
    <row r="2650" spans="1:4" x14ac:dyDescent="0.35">
      <c r="A2650" t="s">
        <v>2770</v>
      </c>
      <c r="B2650">
        <v>100</v>
      </c>
      <c r="C2650">
        <v>75</v>
      </c>
      <c r="D2650">
        <v>44</v>
      </c>
    </row>
    <row r="2651" spans="1:4" x14ac:dyDescent="0.35">
      <c r="A2651" t="s">
        <v>2771</v>
      </c>
      <c r="B2651">
        <v>667</v>
      </c>
      <c r="C2651">
        <v>849</v>
      </c>
      <c r="D2651">
        <v>9</v>
      </c>
    </row>
    <row r="2652" spans="1:4" x14ac:dyDescent="0.35">
      <c r="A2652" t="s">
        <v>2772</v>
      </c>
      <c r="B2652">
        <v>340</v>
      </c>
      <c r="C2652">
        <v>13</v>
      </c>
      <c r="D2652">
        <v>0</v>
      </c>
    </row>
    <row r="2653" spans="1:4" x14ac:dyDescent="0.35">
      <c r="A2653" t="s">
        <v>2773</v>
      </c>
      <c r="B2653">
        <v>53672185</v>
      </c>
      <c r="C2653">
        <v>52456199</v>
      </c>
      <c r="D2653">
        <v>69</v>
      </c>
    </row>
    <row r="2654" spans="1:4" x14ac:dyDescent="0.35">
      <c r="A2654" t="s">
        <v>2774</v>
      </c>
      <c r="B2654">
        <v>35</v>
      </c>
      <c r="C2654">
        <v>33</v>
      </c>
      <c r="D2654">
        <v>156000</v>
      </c>
    </row>
    <row r="2655" spans="1:4" x14ac:dyDescent="0.35">
      <c r="A2655" t="s">
        <v>2775</v>
      </c>
      <c r="B2655">
        <v>3092</v>
      </c>
      <c r="C2655">
        <v>3032</v>
      </c>
      <c r="D2655">
        <v>0</v>
      </c>
    </row>
    <row r="2656" spans="1:4" x14ac:dyDescent="0.35">
      <c r="A2656" t="s">
        <v>2776</v>
      </c>
      <c r="B2656">
        <v>1</v>
      </c>
      <c r="C2656">
        <v>251</v>
      </c>
      <c r="D2656">
        <v>0</v>
      </c>
    </row>
    <row r="2657" spans="1:4" x14ac:dyDescent="0.35">
      <c r="A2657" t="s">
        <v>2777</v>
      </c>
      <c r="B2657">
        <v>9</v>
      </c>
      <c r="C2657">
        <v>1000</v>
      </c>
      <c r="D2657">
        <v>0</v>
      </c>
    </row>
    <row r="2658" spans="1:4" x14ac:dyDescent="0.35">
      <c r="A2658" t="s">
        <v>2778</v>
      </c>
      <c r="B2658">
        <v>38000</v>
      </c>
      <c r="C2658">
        <v>10000</v>
      </c>
      <c r="D2658">
        <v>0</v>
      </c>
    </row>
    <row r="2659" spans="1:4" x14ac:dyDescent="0.35">
      <c r="A2659" t="s">
        <v>2779</v>
      </c>
      <c r="B2659">
        <v>2000</v>
      </c>
      <c r="C2659">
        <v>96</v>
      </c>
      <c r="D2659">
        <v>0</v>
      </c>
    </row>
    <row r="2660" spans="1:4" x14ac:dyDescent="0.35">
      <c r="A2660" t="s">
        <v>2780</v>
      </c>
      <c r="B2660">
        <v>319</v>
      </c>
      <c r="C2660">
        <v>220</v>
      </c>
      <c r="D2660">
        <v>0</v>
      </c>
    </row>
    <row r="2661" spans="1:4" x14ac:dyDescent="0.35">
      <c r="A2661" t="s">
        <v>2781</v>
      </c>
      <c r="B2661">
        <v>919</v>
      </c>
      <c r="C2661">
        <v>15000</v>
      </c>
      <c r="D2661">
        <v>0</v>
      </c>
    </row>
    <row r="2662" spans="1:4" x14ac:dyDescent="0.35">
      <c r="A2662" t="s">
        <v>2782</v>
      </c>
      <c r="B2662">
        <v>100000</v>
      </c>
      <c r="C2662">
        <v>100000</v>
      </c>
      <c r="D2662">
        <v>0</v>
      </c>
    </row>
    <row r="2663" spans="1:4" x14ac:dyDescent="0.35">
      <c r="A2663" t="s">
        <v>2783</v>
      </c>
      <c r="B2663">
        <v>11</v>
      </c>
      <c r="C2663">
        <v>55</v>
      </c>
      <c r="D2663">
        <v>0</v>
      </c>
    </row>
    <row r="2664" spans="1:4" x14ac:dyDescent="0.35">
      <c r="A2664" t="s">
        <v>2784</v>
      </c>
      <c r="B2664">
        <v>29488</v>
      </c>
      <c r="C2664">
        <v>63</v>
      </c>
      <c r="D2664">
        <v>0</v>
      </c>
    </row>
    <row r="2665" spans="1:4" x14ac:dyDescent="0.35">
      <c r="A2665" t="s">
        <v>2785</v>
      </c>
      <c r="B2665">
        <v>1000</v>
      </c>
      <c r="C2665">
        <v>297</v>
      </c>
      <c r="D2665">
        <v>0</v>
      </c>
    </row>
    <row r="2666" spans="1:4" x14ac:dyDescent="0.35">
      <c r="A2666" t="s">
        <v>2786</v>
      </c>
      <c r="B2666">
        <v>2</v>
      </c>
      <c r="C2666">
        <v>332</v>
      </c>
      <c r="D2666">
        <v>0</v>
      </c>
    </row>
    <row r="2667" spans="1:4" x14ac:dyDescent="0.35">
      <c r="A2667" t="s">
        <v>2787</v>
      </c>
      <c r="B2667">
        <v>1</v>
      </c>
      <c r="C2667">
        <v>5</v>
      </c>
      <c r="D2667">
        <v>0</v>
      </c>
    </row>
    <row r="2668" spans="1:4" x14ac:dyDescent="0.35">
      <c r="A2668" t="s">
        <v>2788</v>
      </c>
      <c r="B2668">
        <v>33</v>
      </c>
      <c r="C2668">
        <v>49</v>
      </c>
      <c r="D2668">
        <v>0</v>
      </c>
    </row>
    <row r="2669" spans="1:4" x14ac:dyDescent="0.35">
      <c r="A2669" t="s">
        <v>2789</v>
      </c>
      <c r="B2669">
        <v>140</v>
      </c>
      <c r="C2669">
        <v>1062</v>
      </c>
      <c r="D2669">
        <v>0</v>
      </c>
    </row>
    <row r="2670" spans="1:4" x14ac:dyDescent="0.35">
      <c r="A2670" t="s">
        <v>2790</v>
      </c>
      <c r="B2670">
        <v>55485</v>
      </c>
      <c r="C2670">
        <v>10000</v>
      </c>
      <c r="D2670">
        <v>0</v>
      </c>
    </row>
    <row r="2671" spans="1:4" x14ac:dyDescent="0.35">
      <c r="A2671" t="s">
        <v>2791</v>
      </c>
      <c r="B2671">
        <v>298</v>
      </c>
      <c r="C2671">
        <v>140</v>
      </c>
      <c r="D2671">
        <v>156</v>
      </c>
    </row>
    <row r="2672" spans="1:4" x14ac:dyDescent="0.35">
      <c r="A2672" t="s">
        <v>2792</v>
      </c>
      <c r="B2672">
        <v>9</v>
      </c>
      <c r="C2672">
        <v>14</v>
      </c>
      <c r="D2672">
        <v>0</v>
      </c>
    </row>
    <row r="2673" spans="1:4" x14ac:dyDescent="0.35">
      <c r="A2673" t="s">
        <v>2793</v>
      </c>
      <c r="B2673">
        <v>106</v>
      </c>
      <c r="C2673">
        <v>106</v>
      </c>
      <c r="D2673">
        <v>10147</v>
      </c>
    </row>
    <row r="2674" spans="1:4" x14ac:dyDescent="0.35">
      <c r="A2674" t="s">
        <v>2794</v>
      </c>
      <c r="B2674">
        <v>27</v>
      </c>
      <c r="C2674">
        <v>26</v>
      </c>
      <c r="D2674">
        <v>23667</v>
      </c>
    </row>
    <row r="2675" spans="1:4" x14ac:dyDescent="0.35">
      <c r="A2675" t="s">
        <v>2795</v>
      </c>
      <c r="B2675">
        <v>100</v>
      </c>
      <c r="C2675">
        <v>55</v>
      </c>
      <c r="D2675">
        <v>1432</v>
      </c>
    </row>
    <row r="2676" spans="1:4" x14ac:dyDescent="0.35">
      <c r="A2676" t="s">
        <v>2796</v>
      </c>
      <c r="B2676">
        <v>30</v>
      </c>
      <c r="C2676">
        <v>29</v>
      </c>
      <c r="D2676">
        <v>9350</v>
      </c>
    </row>
    <row r="2677" spans="1:4" x14ac:dyDescent="0.35">
      <c r="A2677" t="s">
        <v>2797</v>
      </c>
      <c r="B2677">
        <v>499000</v>
      </c>
      <c r="C2677">
        <v>50</v>
      </c>
      <c r="D2677">
        <v>0</v>
      </c>
    </row>
    <row r="2678" spans="1:4" x14ac:dyDescent="0.35">
      <c r="A2678" t="s">
        <v>2798</v>
      </c>
      <c r="B2678">
        <v>507</v>
      </c>
      <c r="C2678">
        <v>496</v>
      </c>
      <c r="D2678">
        <v>66681</v>
      </c>
    </row>
    <row r="2679" spans="1:4" x14ac:dyDescent="0.35">
      <c r="A2679" t="s">
        <v>2799</v>
      </c>
      <c r="B2679">
        <v>5000</v>
      </c>
      <c r="C2679">
        <v>1100</v>
      </c>
      <c r="D2679">
        <v>0</v>
      </c>
    </row>
    <row r="2680" spans="1:4" x14ac:dyDescent="0.35">
      <c r="A2680" t="s">
        <v>2800</v>
      </c>
      <c r="B2680">
        <v>82</v>
      </c>
      <c r="C2680">
        <v>160</v>
      </c>
      <c r="D2680">
        <v>20</v>
      </c>
    </row>
    <row r="2681" spans="1:4" x14ac:dyDescent="0.35">
      <c r="A2681" t="s">
        <v>2801</v>
      </c>
      <c r="B2681">
        <v>132</v>
      </c>
      <c r="C2681">
        <v>132</v>
      </c>
      <c r="D2681">
        <v>1</v>
      </c>
    </row>
    <row r="2682" spans="1:4" x14ac:dyDescent="0.35">
      <c r="A2682" t="s">
        <v>2802</v>
      </c>
      <c r="B2682">
        <v>418</v>
      </c>
      <c r="C2682">
        <v>335</v>
      </c>
      <c r="D2682">
        <v>379</v>
      </c>
    </row>
    <row r="2683" spans="1:4" x14ac:dyDescent="0.35">
      <c r="A2683" t="s">
        <v>2803</v>
      </c>
      <c r="B2683">
        <v>53</v>
      </c>
      <c r="C2683">
        <v>493</v>
      </c>
      <c r="D2683">
        <v>0</v>
      </c>
    </row>
    <row r="2684" spans="1:4" x14ac:dyDescent="0.35">
      <c r="A2684" t="s">
        <v>2804</v>
      </c>
      <c r="B2684">
        <v>85</v>
      </c>
      <c r="C2684">
        <v>75</v>
      </c>
      <c r="D2684">
        <v>25</v>
      </c>
    </row>
    <row r="2685" spans="1:4" x14ac:dyDescent="0.35">
      <c r="A2685" t="s">
        <v>2805</v>
      </c>
      <c r="B2685">
        <v>38</v>
      </c>
      <c r="C2685">
        <v>35</v>
      </c>
      <c r="D2685">
        <v>415</v>
      </c>
    </row>
    <row r="2686" spans="1:4" x14ac:dyDescent="0.35">
      <c r="A2686" t="s">
        <v>2806</v>
      </c>
      <c r="B2686">
        <v>14</v>
      </c>
      <c r="C2686">
        <v>19</v>
      </c>
      <c r="D2686">
        <v>345</v>
      </c>
    </row>
    <row r="2687" spans="1:4" x14ac:dyDescent="0.35">
      <c r="A2687" t="s">
        <v>2807</v>
      </c>
      <c r="B2687">
        <v>15</v>
      </c>
      <c r="C2687">
        <v>15</v>
      </c>
      <c r="D2687">
        <v>0</v>
      </c>
    </row>
    <row r="2688" spans="1:4" x14ac:dyDescent="0.35">
      <c r="A2688" t="s">
        <v>2808</v>
      </c>
      <c r="B2688">
        <v>14</v>
      </c>
      <c r="C2688">
        <v>16</v>
      </c>
      <c r="D2688">
        <v>0</v>
      </c>
    </row>
    <row r="2689" spans="1:4" x14ac:dyDescent="0.35">
      <c r="A2689" t="s">
        <v>2809</v>
      </c>
      <c r="B2689">
        <v>1</v>
      </c>
      <c r="C2689">
        <v>45</v>
      </c>
      <c r="D2689">
        <v>0</v>
      </c>
    </row>
    <row r="2690" spans="1:4" x14ac:dyDescent="0.35">
      <c r="A2690" t="s">
        <v>2810</v>
      </c>
      <c r="B2690">
        <v>7</v>
      </c>
      <c r="C2690">
        <v>25</v>
      </c>
      <c r="D2690">
        <v>1</v>
      </c>
    </row>
    <row r="2691" spans="1:4" x14ac:dyDescent="0.35">
      <c r="A2691" t="s">
        <v>2811</v>
      </c>
      <c r="B2691">
        <v>296319999</v>
      </c>
      <c r="C2691">
        <v>292715872</v>
      </c>
      <c r="D2691">
        <v>13</v>
      </c>
    </row>
    <row r="2692" spans="1:4" x14ac:dyDescent="0.35">
      <c r="A2692" t="s">
        <v>2812</v>
      </c>
      <c r="B2692">
        <v>100000000</v>
      </c>
      <c r="C2692">
        <v>98300000</v>
      </c>
      <c r="D2692">
        <v>25</v>
      </c>
    </row>
    <row r="2693" spans="1:4" x14ac:dyDescent="0.35">
      <c r="A2693" t="s">
        <v>2813</v>
      </c>
      <c r="B2693">
        <v>94383332</v>
      </c>
      <c r="C2693">
        <v>94437123</v>
      </c>
      <c r="D2693">
        <v>16</v>
      </c>
    </row>
    <row r="2694" spans="1:4" x14ac:dyDescent="0.35">
      <c r="A2694" t="s">
        <v>2814</v>
      </c>
      <c r="B2694">
        <v>98500000</v>
      </c>
      <c r="C2694">
        <v>97909884</v>
      </c>
      <c r="D2694">
        <v>17</v>
      </c>
    </row>
    <row r="2695" spans="1:4" x14ac:dyDescent="0.35">
      <c r="A2695" t="s">
        <v>2815</v>
      </c>
      <c r="B2695">
        <v>212000</v>
      </c>
      <c r="C2695">
        <v>212001</v>
      </c>
      <c r="D2695">
        <v>1512</v>
      </c>
    </row>
    <row r="2696" spans="1:4" x14ac:dyDescent="0.35">
      <c r="A2696" t="s">
        <v>2816</v>
      </c>
      <c r="B2696">
        <v>2274091</v>
      </c>
      <c r="C2696">
        <v>2262000</v>
      </c>
      <c r="D2696">
        <v>9</v>
      </c>
    </row>
    <row r="2697" spans="1:4" x14ac:dyDescent="0.35">
      <c r="A2697" t="s">
        <v>2817</v>
      </c>
      <c r="B2697">
        <v>555075</v>
      </c>
      <c r="C2697">
        <v>534788</v>
      </c>
      <c r="D2697">
        <v>36</v>
      </c>
    </row>
    <row r="2698" spans="1:4" x14ac:dyDescent="0.35">
      <c r="A2698" t="s">
        <v>2818</v>
      </c>
      <c r="B2698">
        <v>730647</v>
      </c>
      <c r="C2698">
        <v>730647</v>
      </c>
      <c r="D2698">
        <v>11</v>
      </c>
    </row>
    <row r="2699" spans="1:4" x14ac:dyDescent="0.35">
      <c r="A2699" t="s">
        <v>2819</v>
      </c>
      <c r="B2699">
        <v>571262</v>
      </c>
      <c r="C2699">
        <v>550000</v>
      </c>
      <c r="D2699">
        <v>20</v>
      </c>
    </row>
    <row r="2700" spans="1:4" x14ac:dyDescent="0.35">
      <c r="A2700" t="s">
        <v>2820</v>
      </c>
      <c r="B2700">
        <v>938896</v>
      </c>
      <c r="C2700">
        <v>915000</v>
      </c>
      <c r="D2700">
        <v>12</v>
      </c>
    </row>
    <row r="2701" spans="1:4" x14ac:dyDescent="0.35">
      <c r="A2701" t="s">
        <v>2821</v>
      </c>
      <c r="B2701">
        <v>704015</v>
      </c>
      <c r="C2701">
        <v>680150</v>
      </c>
      <c r="D2701">
        <v>25</v>
      </c>
    </row>
    <row r="2702" spans="1:4" x14ac:dyDescent="0.35">
      <c r="A2702" t="s">
        <v>2822</v>
      </c>
      <c r="B2702">
        <v>636388</v>
      </c>
      <c r="C2702">
        <v>626508</v>
      </c>
      <c r="D2702">
        <v>63</v>
      </c>
    </row>
    <row r="2703" spans="1:4" x14ac:dyDescent="0.35">
      <c r="A2703" t="s">
        <v>2823</v>
      </c>
      <c r="B2703">
        <v>3806381</v>
      </c>
      <c r="C2703">
        <v>3668213</v>
      </c>
      <c r="D2703">
        <v>12</v>
      </c>
    </row>
    <row r="2704" spans="1:4" x14ac:dyDescent="0.35">
      <c r="A2704" t="s">
        <v>2824</v>
      </c>
      <c r="B2704">
        <v>45</v>
      </c>
      <c r="C2704">
        <v>75</v>
      </c>
      <c r="D2704">
        <v>0</v>
      </c>
    </row>
    <row r="2705" spans="1:4" x14ac:dyDescent="0.35">
      <c r="A2705" t="s">
        <v>2825</v>
      </c>
      <c r="B2705">
        <v>2500000</v>
      </c>
      <c r="C2705">
        <v>2490600</v>
      </c>
      <c r="D2705">
        <v>4</v>
      </c>
    </row>
    <row r="2706" spans="1:4" x14ac:dyDescent="0.35">
      <c r="A2706" t="s">
        <v>2826</v>
      </c>
      <c r="B2706">
        <v>999999</v>
      </c>
      <c r="C2706">
        <v>980000</v>
      </c>
      <c r="D2706">
        <v>0</v>
      </c>
    </row>
    <row r="2707" spans="1:4" x14ac:dyDescent="0.35">
      <c r="A2707" t="s">
        <v>2827</v>
      </c>
      <c r="B2707">
        <v>600000</v>
      </c>
      <c r="C2707">
        <v>201000</v>
      </c>
      <c r="D2707">
        <v>0</v>
      </c>
    </row>
    <row r="2708" spans="1:4" x14ac:dyDescent="0.35">
      <c r="A2708" t="s">
        <v>2828</v>
      </c>
      <c r="B2708">
        <v>3871211</v>
      </c>
      <c r="C2708">
        <v>3875000</v>
      </c>
      <c r="D2708">
        <v>15</v>
      </c>
    </row>
    <row r="2709" spans="1:4" x14ac:dyDescent="0.35">
      <c r="A2709" t="s">
        <v>2829</v>
      </c>
      <c r="B2709">
        <v>252</v>
      </c>
      <c r="C2709">
        <v>246</v>
      </c>
      <c r="D2709">
        <v>3974</v>
      </c>
    </row>
    <row r="2710" spans="1:4" x14ac:dyDescent="0.35">
      <c r="A2710" t="s">
        <v>2830</v>
      </c>
      <c r="B2710">
        <v>68</v>
      </c>
      <c r="C2710">
        <v>68</v>
      </c>
      <c r="D2710">
        <v>0</v>
      </c>
    </row>
    <row r="2711" spans="1:4" x14ac:dyDescent="0.35">
      <c r="A2711" t="s">
        <v>2831</v>
      </c>
      <c r="B2711">
        <v>2618</v>
      </c>
      <c r="C2711">
        <v>2500</v>
      </c>
      <c r="D2711">
        <v>8</v>
      </c>
    </row>
    <row r="2712" spans="1:4" x14ac:dyDescent="0.35">
      <c r="A2712" t="s">
        <v>2832</v>
      </c>
      <c r="B2712">
        <v>1309</v>
      </c>
      <c r="C2712">
        <v>1309</v>
      </c>
      <c r="D2712">
        <v>4</v>
      </c>
    </row>
    <row r="2713" spans="1:4" x14ac:dyDescent="0.35">
      <c r="A2713" t="s">
        <v>2833</v>
      </c>
      <c r="B2713">
        <v>1</v>
      </c>
      <c r="C2713">
        <v>423</v>
      </c>
      <c r="D2713">
        <v>2</v>
      </c>
    </row>
    <row r="2714" spans="1:4" x14ac:dyDescent="0.35">
      <c r="A2714" t="s">
        <v>2834</v>
      </c>
      <c r="B2714">
        <v>25</v>
      </c>
      <c r="C2714">
        <v>100</v>
      </c>
      <c r="D2714">
        <v>0</v>
      </c>
    </row>
    <row r="2715" spans="1:4" x14ac:dyDescent="0.35">
      <c r="A2715" t="s">
        <v>2835</v>
      </c>
      <c r="B2715">
        <v>28573</v>
      </c>
      <c r="C2715">
        <v>28000</v>
      </c>
      <c r="D2715">
        <v>2</v>
      </c>
    </row>
    <row r="2716" spans="1:4" x14ac:dyDescent="0.35">
      <c r="A2716" t="s">
        <v>2836</v>
      </c>
      <c r="B2716">
        <v>13500000</v>
      </c>
      <c r="C2716">
        <v>13260705</v>
      </c>
      <c r="D2716">
        <v>464</v>
      </c>
    </row>
    <row r="2717" spans="1:4" x14ac:dyDescent="0.35">
      <c r="A2717" t="s">
        <v>2837</v>
      </c>
      <c r="B2717">
        <v>19</v>
      </c>
      <c r="C2717">
        <v>22</v>
      </c>
      <c r="D2717">
        <v>0</v>
      </c>
    </row>
    <row r="2718" spans="1:4" x14ac:dyDescent="0.35">
      <c r="A2718" t="s">
        <v>2838</v>
      </c>
      <c r="B2718">
        <v>21</v>
      </c>
      <c r="C2718">
        <v>35</v>
      </c>
      <c r="D2718">
        <v>0</v>
      </c>
    </row>
    <row r="2719" spans="1:4" x14ac:dyDescent="0.35">
      <c r="A2719" t="s">
        <v>2839</v>
      </c>
      <c r="B2719">
        <v>50</v>
      </c>
      <c r="C2719">
        <v>3</v>
      </c>
      <c r="D2719">
        <v>0</v>
      </c>
    </row>
    <row r="2720" spans="1:4" x14ac:dyDescent="0.35">
      <c r="A2720" t="s">
        <v>2840</v>
      </c>
      <c r="B2720">
        <v>61</v>
      </c>
      <c r="C2720">
        <v>61</v>
      </c>
      <c r="D2720">
        <v>0</v>
      </c>
    </row>
    <row r="2721" spans="1:4" x14ac:dyDescent="0.35">
      <c r="A2721" t="s">
        <v>2841</v>
      </c>
      <c r="B2721">
        <v>16</v>
      </c>
      <c r="C2721">
        <v>16</v>
      </c>
      <c r="D2721">
        <v>11725</v>
      </c>
    </row>
    <row r="2722" spans="1:4" x14ac:dyDescent="0.35">
      <c r="A2722" t="s">
        <v>2842</v>
      </c>
      <c r="B2722">
        <v>475</v>
      </c>
      <c r="C2722">
        <v>1000</v>
      </c>
      <c r="D2722">
        <v>0</v>
      </c>
    </row>
    <row r="2723" spans="1:4" x14ac:dyDescent="0.35">
      <c r="A2723" t="s">
        <v>2843</v>
      </c>
      <c r="B2723">
        <v>7</v>
      </c>
      <c r="C2723">
        <v>3</v>
      </c>
      <c r="D2723">
        <v>3512</v>
      </c>
    </row>
    <row r="2724" spans="1:4" x14ac:dyDescent="0.35">
      <c r="A2724" t="s">
        <v>2844</v>
      </c>
      <c r="B2724">
        <v>1500</v>
      </c>
      <c r="C2724">
        <v>2000</v>
      </c>
      <c r="D2724">
        <v>1</v>
      </c>
    </row>
    <row r="2725" spans="1:4" x14ac:dyDescent="0.35">
      <c r="A2725" t="s">
        <v>2845</v>
      </c>
      <c r="B2725">
        <v>2310000</v>
      </c>
      <c r="C2725">
        <v>2303105</v>
      </c>
      <c r="D2725">
        <v>2</v>
      </c>
    </row>
    <row r="2726" spans="1:4" x14ac:dyDescent="0.35">
      <c r="A2726" t="s">
        <v>2846</v>
      </c>
      <c r="B2726">
        <v>2102816</v>
      </c>
      <c r="C2726">
        <v>2103000</v>
      </c>
      <c r="D2726">
        <v>0</v>
      </c>
    </row>
    <row r="2727" spans="1:4" x14ac:dyDescent="0.35">
      <c r="A2727" t="s">
        <v>2847</v>
      </c>
      <c r="B2727">
        <v>1873000</v>
      </c>
      <c r="C2727">
        <v>2307798</v>
      </c>
      <c r="D2727">
        <v>0</v>
      </c>
    </row>
    <row r="2728" spans="1:4" x14ac:dyDescent="0.35">
      <c r="A2728" t="s">
        <v>2848</v>
      </c>
      <c r="B2728">
        <v>8306</v>
      </c>
      <c r="C2728">
        <v>8300</v>
      </c>
      <c r="D2728">
        <v>14092</v>
      </c>
    </row>
    <row r="2729" spans="1:4" x14ac:dyDescent="0.35">
      <c r="A2729" t="s">
        <v>2849</v>
      </c>
      <c r="B2729">
        <v>8687</v>
      </c>
      <c r="C2729">
        <v>8525</v>
      </c>
      <c r="D2729">
        <v>27385</v>
      </c>
    </row>
    <row r="2730" spans="1:4" x14ac:dyDescent="0.35">
      <c r="A2730" t="s">
        <v>2850</v>
      </c>
      <c r="B2730">
        <v>8449</v>
      </c>
      <c r="C2730">
        <v>8330</v>
      </c>
      <c r="D2730">
        <v>33420</v>
      </c>
    </row>
    <row r="2731" spans="1:4" x14ac:dyDescent="0.35">
      <c r="A2731" t="s">
        <v>2851</v>
      </c>
      <c r="B2731">
        <v>2044465</v>
      </c>
      <c r="C2731">
        <v>2064944</v>
      </c>
      <c r="D2731">
        <v>0</v>
      </c>
    </row>
    <row r="2732" spans="1:4" x14ac:dyDescent="0.35">
      <c r="A2732" t="s">
        <v>2852</v>
      </c>
      <c r="B2732">
        <v>11393</v>
      </c>
      <c r="C2732">
        <v>10800</v>
      </c>
      <c r="D2732">
        <v>0</v>
      </c>
    </row>
    <row r="2733" spans="1:4" x14ac:dyDescent="0.35">
      <c r="A2733" t="s">
        <v>2853</v>
      </c>
      <c r="B2733">
        <v>9599</v>
      </c>
      <c r="C2733">
        <v>9022</v>
      </c>
      <c r="D2733">
        <v>1</v>
      </c>
    </row>
    <row r="2734" spans="1:4" x14ac:dyDescent="0.35">
      <c r="A2734" t="s">
        <v>2854</v>
      </c>
      <c r="B2734">
        <v>2175098</v>
      </c>
      <c r="C2734">
        <v>2459532</v>
      </c>
      <c r="D2734">
        <v>0</v>
      </c>
    </row>
    <row r="2735" spans="1:4" x14ac:dyDescent="0.35">
      <c r="A2735" t="s">
        <v>2855</v>
      </c>
      <c r="B2735">
        <v>1826146</v>
      </c>
      <c r="C2735">
        <v>1560000</v>
      </c>
      <c r="D2735">
        <v>2</v>
      </c>
    </row>
    <row r="2736" spans="1:4" x14ac:dyDescent="0.35">
      <c r="A2736" t="s">
        <v>2856</v>
      </c>
      <c r="B2736">
        <v>227</v>
      </c>
      <c r="C2736">
        <v>220</v>
      </c>
      <c r="D2736">
        <v>2750</v>
      </c>
    </row>
    <row r="2737" spans="1:4" x14ac:dyDescent="0.35">
      <c r="A2737" t="s">
        <v>2857</v>
      </c>
      <c r="B2737">
        <v>324</v>
      </c>
      <c r="C2737">
        <v>106</v>
      </c>
      <c r="D2737">
        <v>0</v>
      </c>
    </row>
    <row r="2738" spans="1:4" x14ac:dyDescent="0.35">
      <c r="A2738" t="s">
        <v>2858</v>
      </c>
      <c r="B2738">
        <v>500</v>
      </c>
      <c r="C2738">
        <v>221</v>
      </c>
      <c r="D2738">
        <v>0</v>
      </c>
    </row>
    <row r="2739" spans="1:4" x14ac:dyDescent="0.35">
      <c r="A2739" t="s">
        <v>2859</v>
      </c>
      <c r="B2739">
        <v>23</v>
      </c>
      <c r="C2739">
        <v>20</v>
      </c>
      <c r="D2739">
        <v>2328</v>
      </c>
    </row>
    <row r="2740" spans="1:4" x14ac:dyDescent="0.35">
      <c r="A2740" t="s">
        <v>2860</v>
      </c>
      <c r="B2740">
        <v>43</v>
      </c>
      <c r="C2740">
        <v>42</v>
      </c>
      <c r="D2740">
        <v>6100</v>
      </c>
    </row>
    <row r="2741" spans="1:4" x14ac:dyDescent="0.35">
      <c r="A2741" t="s">
        <v>2861</v>
      </c>
      <c r="B2741">
        <v>90</v>
      </c>
      <c r="C2741">
        <v>50</v>
      </c>
      <c r="D2741">
        <v>2100</v>
      </c>
    </row>
    <row r="2742" spans="1:4" x14ac:dyDescent="0.35">
      <c r="A2742" t="s">
        <v>2862</v>
      </c>
      <c r="B2742">
        <v>640</v>
      </c>
      <c r="C2742">
        <v>530</v>
      </c>
      <c r="D2742">
        <v>5</v>
      </c>
    </row>
    <row r="2743" spans="1:4" x14ac:dyDescent="0.35">
      <c r="A2743" t="s">
        <v>2863</v>
      </c>
      <c r="B2743">
        <v>2935</v>
      </c>
      <c r="C2743">
        <v>2901</v>
      </c>
      <c r="D2743">
        <v>390</v>
      </c>
    </row>
    <row r="2744" spans="1:4" x14ac:dyDescent="0.35">
      <c r="A2744" t="s">
        <v>2864</v>
      </c>
      <c r="B2744">
        <v>3225</v>
      </c>
      <c r="C2744">
        <v>3125</v>
      </c>
      <c r="D2744">
        <v>4709</v>
      </c>
    </row>
    <row r="2745" spans="1:4" x14ac:dyDescent="0.35">
      <c r="A2745" t="s">
        <v>2865</v>
      </c>
      <c r="B2745">
        <v>237</v>
      </c>
      <c r="C2745">
        <v>204</v>
      </c>
      <c r="D2745">
        <v>0</v>
      </c>
    </row>
    <row r="2746" spans="1:4" x14ac:dyDescent="0.35">
      <c r="A2746" t="s">
        <v>2866</v>
      </c>
      <c r="B2746">
        <v>705</v>
      </c>
      <c r="C2746">
        <v>672</v>
      </c>
      <c r="D2746">
        <v>2</v>
      </c>
    </row>
    <row r="2747" spans="1:4" x14ac:dyDescent="0.35">
      <c r="A2747" t="s">
        <v>2867</v>
      </c>
      <c r="B2747">
        <v>719</v>
      </c>
      <c r="C2747">
        <v>832</v>
      </c>
      <c r="D2747">
        <v>0</v>
      </c>
    </row>
    <row r="2748" spans="1:4" x14ac:dyDescent="0.35">
      <c r="A2748" t="s">
        <v>2868</v>
      </c>
      <c r="B2748">
        <v>835920</v>
      </c>
      <c r="C2748">
        <v>577709</v>
      </c>
      <c r="D2748">
        <v>0</v>
      </c>
    </row>
    <row r="2749" spans="1:4" x14ac:dyDescent="0.35">
      <c r="A2749" t="s">
        <v>2869</v>
      </c>
      <c r="B2749">
        <v>225</v>
      </c>
      <c r="C2749">
        <v>220</v>
      </c>
      <c r="D2749">
        <v>873</v>
      </c>
    </row>
    <row r="2750" spans="1:4" x14ac:dyDescent="0.35">
      <c r="A2750" t="s">
        <v>2870</v>
      </c>
      <c r="B2750">
        <v>5000</v>
      </c>
      <c r="C2750">
        <v>5000</v>
      </c>
      <c r="D2750">
        <v>1</v>
      </c>
    </row>
    <row r="2751" spans="1:4" x14ac:dyDescent="0.35">
      <c r="A2751" t="s">
        <v>2871</v>
      </c>
      <c r="B2751">
        <v>2062</v>
      </c>
      <c r="C2751">
        <v>1251</v>
      </c>
      <c r="D2751">
        <v>29</v>
      </c>
    </row>
    <row r="2752" spans="1:4" x14ac:dyDescent="0.35">
      <c r="A2752" t="s">
        <v>2872</v>
      </c>
      <c r="B2752">
        <v>1</v>
      </c>
      <c r="C2752">
        <v>5</v>
      </c>
      <c r="D2752">
        <v>0</v>
      </c>
    </row>
    <row r="2753" spans="1:4" x14ac:dyDescent="0.35">
      <c r="A2753" t="s">
        <v>2873</v>
      </c>
      <c r="B2753">
        <v>749</v>
      </c>
      <c r="C2753">
        <v>749</v>
      </c>
      <c r="D2753">
        <v>22</v>
      </c>
    </row>
    <row r="2754" spans="1:4" x14ac:dyDescent="0.35">
      <c r="A2754" t="s">
        <v>2874</v>
      </c>
      <c r="B2754">
        <v>10</v>
      </c>
      <c r="C2754">
        <v>5</v>
      </c>
      <c r="D2754">
        <v>6969</v>
      </c>
    </row>
    <row r="2755" spans="1:4" x14ac:dyDescent="0.35">
      <c r="A2755" t="s">
        <v>2875</v>
      </c>
      <c r="B2755">
        <v>453</v>
      </c>
      <c r="C2755">
        <v>311</v>
      </c>
      <c r="D2755">
        <v>1</v>
      </c>
    </row>
    <row r="2756" spans="1:4" x14ac:dyDescent="0.35">
      <c r="A2756" t="s">
        <v>2876</v>
      </c>
      <c r="B2756">
        <v>89</v>
      </c>
      <c r="C2756">
        <v>169</v>
      </c>
      <c r="D2756">
        <v>203</v>
      </c>
    </row>
    <row r="2757" spans="1:4" x14ac:dyDescent="0.35">
      <c r="A2757" t="s">
        <v>2877</v>
      </c>
      <c r="B2757">
        <v>181</v>
      </c>
      <c r="C2757">
        <v>50</v>
      </c>
      <c r="D2757">
        <v>40</v>
      </c>
    </row>
    <row r="2758" spans="1:4" x14ac:dyDescent="0.35">
      <c r="A2758" t="s">
        <v>2878</v>
      </c>
      <c r="B2758">
        <v>849</v>
      </c>
      <c r="C2758">
        <v>321</v>
      </c>
      <c r="D2758">
        <v>6</v>
      </c>
    </row>
    <row r="2759" spans="1:4" x14ac:dyDescent="0.35">
      <c r="A2759" t="s">
        <v>2879</v>
      </c>
      <c r="B2759">
        <v>14</v>
      </c>
      <c r="C2759">
        <v>12</v>
      </c>
      <c r="D2759">
        <v>411</v>
      </c>
    </row>
    <row r="2760" spans="1:4" x14ac:dyDescent="0.35">
      <c r="A2760" t="s">
        <v>2880</v>
      </c>
      <c r="B2760">
        <v>2968</v>
      </c>
      <c r="C2760">
        <v>2458</v>
      </c>
      <c r="D2760">
        <v>624</v>
      </c>
    </row>
    <row r="2761" spans="1:4" x14ac:dyDescent="0.35">
      <c r="A2761" t="s">
        <v>2881</v>
      </c>
      <c r="B2761">
        <v>1282097</v>
      </c>
      <c r="C2761">
        <v>1243650</v>
      </c>
      <c r="D2761">
        <v>121</v>
      </c>
    </row>
    <row r="2762" spans="1:4" x14ac:dyDescent="0.35">
      <c r="A2762" t="s">
        <v>2882</v>
      </c>
      <c r="B2762">
        <v>0</v>
      </c>
      <c r="C2762">
        <v>0</v>
      </c>
      <c r="D2762">
        <v>0</v>
      </c>
    </row>
    <row r="2763" spans="1:4" x14ac:dyDescent="0.35">
      <c r="A2763" t="s">
        <v>2883</v>
      </c>
      <c r="B2763">
        <v>24527707</v>
      </c>
      <c r="C2763">
        <v>24099319</v>
      </c>
      <c r="D2763">
        <v>64</v>
      </c>
    </row>
    <row r="2764" spans="1:4" x14ac:dyDescent="0.35">
      <c r="A2764" t="s">
        <v>2884</v>
      </c>
      <c r="B2764">
        <v>769</v>
      </c>
      <c r="C2764">
        <v>600</v>
      </c>
      <c r="D2764">
        <v>411</v>
      </c>
    </row>
    <row r="2765" spans="1:4" x14ac:dyDescent="0.35">
      <c r="A2765" t="s">
        <v>2885</v>
      </c>
      <c r="B2765">
        <v>55086</v>
      </c>
      <c r="C2765">
        <v>55086</v>
      </c>
      <c r="D2765">
        <v>37</v>
      </c>
    </row>
    <row r="2766" spans="1:4" x14ac:dyDescent="0.35">
      <c r="A2766" t="s">
        <v>2886</v>
      </c>
      <c r="B2766">
        <v>44</v>
      </c>
      <c r="C2766">
        <v>44</v>
      </c>
      <c r="D2766">
        <v>494</v>
      </c>
    </row>
    <row r="2767" spans="1:4" x14ac:dyDescent="0.35">
      <c r="A2767" t="s">
        <v>2887</v>
      </c>
      <c r="B2767">
        <v>28</v>
      </c>
      <c r="C2767">
        <v>28</v>
      </c>
      <c r="D2767">
        <v>290</v>
      </c>
    </row>
    <row r="2768" spans="1:4" x14ac:dyDescent="0.35">
      <c r="A2768" t="s">
        <v>2888</v>
      </c>
      <c r="B2768">
        <v>598</v>
      </c>
      <c r="C2768">
        <v>482</v>
      </c>
      <c r="D2768">
        <v>525</v>
      </c>
    </row>
    <row r="2769" spans="1:4" x14ac:dyDescent="0.35">
      <c r="A2769" t="s">
        <v>2889</v>
      </c>
      <c r="B2769">
        <v>299</v>
      </c>
      <c r="C2769">
        <v>270</v>
      </c>
      <c r="D2769">
        <v>4</v>
      </c>
    </row>
    <row r="2770" spans="1:4" x14ac:dyDescent="0.35">
      <c r="A2770" t="s">
        <v>2890</v>
      </c>
      <c r="B2770">
        <v>26150</v>
      </c>
      <c r="C2770">
        <v>25416</v>
      </c>
      <c r="D2770">
        <v>1391</v>
      </c>
    </row>
    <row r="2771" spans="1:4" x14ac:dyDescent="0.35">
      <c r="A2771" t="s">
        <v>2891</v>
      </c>
      <c r="B2771">
        <v>23050</v>
      </c>
      <c r="C2771">
        <v>22666</v>
      </c>
      <c r="D2771">
        <v>568</v>
      </c>
    </row>
    <row r="2772" spans="1:4" x14ac:dyDescent="0.35">
      <c r="A2772" t="s">
        <v>2892</v>
      </c>
      <c r="B2772">
        <v>2307</v>
      </c>
      <c r="C2772">
        <v>2255</v>
      </c>
      <c r="D2772">
        <v>0</v>
      </c>
    </row>
    <row r="2773" spans="1:4" x14ac:dyDescent="0.35">
      <c r="A2773" t="s">
        <v>2893</v>
      </c>
      <c r="B2773">
        <v>1670</v>
      </c>
      <c r="C2773">
        <v>1651</v>
      </c>
      <c r="D2773">
        <v>4581</v>
      </c>
    </row>
    <row r="2774" spans="1:4" x14ac:dyDescent="0.35">
      <c r="A2774" t="s">
        <v>2894</v>
      </c>
      <c r="B2774">
        <v>2699</v>
      </c>
      <c r="C2774">
        <v>2572</v>
      </c>
      <c r="D2774">
        <v>603</v>
      </c>
    </row>
    <row r="2775" spans="1:4" x14ac:dyDescent="0.35">
      <c r="A2775" t="s">
        <v>2895</v>
      </c>
      <c r="B2775">
        <v>1542</v>
      </c>
      <c r="C2775">
        <v>1558</v>
      </c>
      <c r="D2775">
        <v>383</v>
      </c>
    </row>
    <row r="2776" spans="1:4" x14ac:dyDescent="0.35">
      <c r="A2776" t="s">
        <v>2896</v>
      </c>
      <c r="B2776">
        <v>115</v>
      </c>
      <c r="C2776">
        <v>114</v>
      </c>
      <c r="D2776">
        <v>204</v>
      </c>
    </row>
    <row r="2777" spans="1:4" x14ac:dyDescent="0.35">
      <c r="A2777" t="s">
        <v>2897</v>
      </c>
      <c r="B2777">
        <v>774862</v>
      </c>
      <c r="C2777">
        <v>710202</v>
      </c>
      <c r="D2777">
        <v>0</v>
      </c>
    </row>
    <row r="2778" spans="1:4" x14ac:dyDescent="0.35">
      <c r="A2778" t="s">
        <v>2898</v>
      </c>
      <c r="B2778">
        <v>99999</v>
      </c>
      <c r="C2778">
        <v>96000</v>
      </c>
      <c r="D2778">
        <v>4</v>
      </c>
    </row>
    <row r="2779" spans="1:4" x14ac:dyDescent="0.35">
      <c r="A2779" t="s">
        <v>2899</v>
      </c>
      <c r="B2779">
        <v>190</v>
      </c>
      <c r="C2779">
        <v>165</v>
      </c>
      <c r="D2779">
        <v>738</v>
      </c>
    </row>
    <row r="2780" spans="1:4" x14ac:dyDescent="0.35">
      <c r="A2780" t="s">
        <v>2900</v>
      </c>
      <c r="B2780">
        <v>41</v>
      </c>
      <c r="C2780">
        <v>20</v>
      </c>
      <c r="D2780">
        <v>4000</v>
      </c>
    </row>
    <row r="2781" spans="1:4" x14ac:dyDescent="0.35">
      <c r="A2781" t="s">
        <v>2901</v>
      </c>
      <c r="B2781">
        <v>4593</v>
      </c>
      <c r="C2781">
        <v>3285</v>
      </c>
      <c r="D2781">
        <v>17</v>
      </c>
    </row>
    <row r="2782" spans="1:4" x14ac:dyDescent="0.35">
      <c r="A2782" t="s">
        <v>2902</v>
      </c>
      <c r="B2782">
        <v>10</v>
      </c>
      <c r="C2782">
        <v>11</v>
      </c>
      <c r="D2782">
        <v>495</v>
      </c>
    </row>
    <row r="2783" spans="1:4" x14ac:dyDescent="0.35">
      <c r="A2783" t="s">
        <v>2903</v>
      </c>
      <c r="B2783">
        <v>39</v>
      </c>
      <c r="C2783">
        <v>30</v>
      </c>
      <c r="D2783">
        <v>190</v>
      </c>
    </row>
    <row r="2784" spans="1:4" x14ac:dyDescent="0.35">
      <c r="A2784" t="s">
        <v>2904</v>
      </c>
      <c r="B2784">
        <v>11</v>
      </c>
      <c r="C2784">
        <v>12</v>
      </c>
      <c r="D2784">
        <v>8171</v>
      </c>
    </row>
    <row r="2785" spans="1:4" x14ac:dyDescent="0.35">
      <c r="A2785" t="s">
        <v>2905</v>
      </c>
      <c r="B2785">
        <v>3997</v>
      </c>
      <c r="C2785">
        <v>2375</v>
      </c>
      <c r="D2785">
        <v>0</v>
      </c>
    </row>
    <row r="2786" spans="1:4" x14ac:dyDescent="0.35">
      <c r="A2786" t="s">
        <v>2906</v>
      </c>
      <c r="B2786">
        <v>2640</v>
      </c>
      <c r="C2786">
        <v>1801</v>
      </c>
      <c r="D2786">
        <v>11</v>
      </c>
    </row>
    <row r="2787" spans="1:4" x14ac:dyDescent="0.35">
      <c r="A2787" t="s">
        <v>2907</v>
      </c>
      <c r="B2787">
        <v>25010411</v>
      </c>
      <c r="C2787">
        <v>24314979</v>
      </c>
      <c r="D2787">
        <v>47</v>
      </c>
    </row>
    <row r="2788" spans="1:4" x14ac:dyDescent="0.35">
      <c r="A2788" t="s">
        <v>2908</v>
      </c>
      <c r="B2788">
        <v>139000</v>
      </c>
      <c r="C2788">
        <v>130000</v>
      </c>
      <c r="D2788">
        <v>7</v>
      </c>
    </row>
    <row r="2789" spans="1:4" x14ac:dyDescent="0.35">
      <c r="A2789" t="s">
        <v>2909</v>
      </c>
      <c r="B2789">
        <v>11188</v>
      </c>
      <c r="C2789">
        <v>11141</v>
      </c>
      <c r="D2789">
        <v>7</v>
      </c>
    </row>
    <row r="2790" spans="1:4" x14ac:dyDescent="0.35">
      <c r="A2790" t="s">
        <v>2910</v>
      </c>
      <c r="B2790">
        <v>32088</v>
      </c>
      <c r="C2790">
        <v>32088</v>
      </c>
      <c r="D2790">
        <v>6</v>
      </c>
    </row>
    <row r="2791" spans="1:4" x14ac:dyDescent="0.35">
      <c r="A2791" t="s">
        <v>2911</v>
      </c>
      <c r="B2791">
        <v>1347</v>
      </c>
      <c r="C2791">
        <v>1200</v>
      </c>
      <c r="D2791">
        <v>1023</v>
      </c>
    </row>
    <row r="2792" spans="1:4" x14ac:dyDescent="0.35">
      <c r="A2792" t="s">
        <v>2912</v>
      </c>
      <c r="B2792">
        <v>450</v>
      </c>
      <c r="C2792">
        <v>200</v>
      </c>
      <c r="D2792">
        <v>63</v>
      </c>
    </row>
    <row r="2793" spans="1:4" x14ac:dyDescent="0.35">
      <c r="A2793" t="s">
        <v>2913</v>
      </c>
      <c r="B2793">
        <v>3488599</v>
      </c>
      <c r="C2793">
        <v>3402946</v>
      </c>
      <c r="D2793">
        <v>26</v>
      </c>
    </row>
    <row r="2794" spans="1:4" x14ac:dyDescent="0.35">
      <c r="A2794" t="s">
        <v>2914</v>
      </c>
      <c r="B2794">
        <v>2263</v>
      </c>
      <c r="C2794">
        <v>2222</v>
      </c>
      <c r="D2794">
        <v>1319</v>
      </c>
    </row>
    <row r="2795" spans="1:4" x14ac:dyDescent="0.35">
      <c r="A2795" t="s">
        <v>2915</v>
      </c>
      <c r="B2795">
        <v>2865</v>
      </c>
      <c r="C2795">
        <v>2865</v>
      </c>
      <c r="D2795">
        <v>1</v>
      </c>
    </row>
    <row r="2796" spans="1:4" x14ac:dyDescent="0.35">
      <c r="A2796" t="s">
        <v>2916</v>
      </c>
      <c r="B2796">
        <v>30</v>
      </c>
      <c r="C2796">
        <v>29</v>
      </c>
      <c r="D2796">
        <v>8488</v>
      </c>
    </row>
    <row r="2797" spans="1:4" x14ac:dyDescent="0.35">
      <c r="A2797" t="s">
        <v>2917</v>
      </c>
      <c r="B2797">
        <v>500</v>
      </c>
      <c r="C2797">
        <v>138</v>
      </c>
      <c r="D2797">
        <v>0</v>
      </c>
    </row>
    <row r="2798" spans="1:4" x14ac:dyDescent="0.35">
      <c r="A2798" t="s">
        <v>2918</v>
      </c>
      <c r="B2798">
        <v>327</v>
      </c>
      <c r="C2798">
        <v>326</v>
      </c>
      <c r="D2798">
        <v>3663</v>
      </c>
    </row>
    <row r="2799" spans="1:4" x14ac:dyDescent="0.35">
      <c r="A2799" t="s">
        <v>2919</v>
      </c>
      <c r="B2799">
        <v>213</v>
      </c>
      <c r="C2799">
        <v>204</v>
      </c>
      <c r="D2799">
        <v>7422</v>
      </c>
    </row>
    <row r="2800" spans="1:4" x14ac:dyDescent="0.35">
      <c r="A2800" t="s">
        <v>2920</v>
      </c>
      <c r="B2800">
        <v>42750</v>
      </c>
      <c r="C2800">
        <v>648</v>
      </c>
      <c r="D2800">
        <v>0</v>
      </c>
    </row>
    <row r="2801" spans="1:4" x14ac:dyDescent="0.35">
      <c r="A2801" t="s">
        <v>2921</v>
      </c>
      <c r="B2801">
        <v>3560</v>
      </c>
      <c r="C2801">
        <v>3533</v>
      </c>
      <c r="D2801">
        <v>968</v>
      </c>
    </row>
    <row r="2802" spans="1:4" x14ac:dyDescent="0.35">
      <c r="A2802" t="s">
        <v>2922</v>
      </c>
      <c r="B2802">
        <v>552</v>
      </c>
      <c r="C2802">
        <v>809</v>
      </c>
      <c r="D2802">
        <v>53</v>
      </c>
    </row>
    <row r="2803" spans="1:4" x14ac:dyDescent="0.35">
      <c r="A2803" t="s">
        <v>122</v>
      </c>
      <c r="B2803">
        <v>4185</v>
      </c>
      <c r="C2803">
        <v>3897</v>
      </c>
      <c r="D2803">
        <v>41</v>
      </c>
    </row>
    <row r="2804" spans="1:4" x14ac:dyDescent="0.35">
      <c r="A2804" t="s">
        <v>2923</v>
      </c>
      <c r="B2804">
        <v>205</v>
      </c>
      <c r="C2804">
        <v>201</v>
      </c>
      <c r="D2804">
        <v>3442</v>
      </c>
    </row>
    <row r="2805" spans="1:4" x14ac:dyDescent="0.35">
      <c r="A2805" t="s">
        <v>2924</v>
      </c>
      <c r="B2805">
        <v>165</v>
      </c>
      <c r="C2805">
        <v>164</v>
      </c>
      <c r="D2805">
        <v>9</v>
      </c>
    </row>
    <row r="2806" spans="1:4" x14ac:dyDescent="0.35">
      <c r="A2806" t="s">
        <v>2925</v>
      </c>
      <c r="B2806">
        <v>650</v>
      </c>
      <c r="C2806">
        <v>596</v>
      </c>
      <c r="D2806">
        <v>1774</v>
      </c>
    </row>
    <row r="2807" spans="1:4" x14ac:dyDescent="0.35">
      <c r="A2807" t="s">
        <v>2926</v>
      </c>
      <c r="B2807">
        <v>4666</v>
      </c>
      <c r="C2807">
        <v>1950</v>
      </c>
      <c r="D2807">
        <v>0</v>
      </c>
    </row>
    <row r="2808" spans="1:4" x14ac:dyDescent="0.35">
      <c r="A2808" t="s">
        <v>2927</v>
      </c>
      <c r="B2808">
        <v>80</v>
      </c>
      <c r="C2808">
        <v>40</v>
      </c>
      <c r="D2808">
        <v>240</v>
      </c>
    </row>
    <row r="2809" spans="1:4" x14ac:dyDescent="0.35">
      <c r="A2809" t="s">
        <v>2928</v>
      </c>
      <c r="B2809">
        <v>428</v>
      </c>
      <c r="C2809">
        <v>352</v>
      </c>
      <c r="D2809">
        <v>126</v>
      </c>
    </row>
    <row r="2810" spans="1:4" x14ac:dyDescent="0.35">
      <c r="A2810" t="s">
        <v>2929</v>
      </c>
      <c r="B2810">
        <v>33</v>
      </c>
      <c r="C2810">
        <v>25</v>
      </c>
      <c r="D2810">
        <v>336</v>
      </c>
    </row>
    <row r="2811" spans="1:4" x14ac:dyDescent="0.35">
      <c r="A2811" t="s">
        <v>2930</v>
      </c>
      <c r="B2811">
        <v>2292</v>
      </c>
      <c r="C2811">
        <v>3755</v>
      </c>
      <c r="D2811">
        <v>1</v>
      </c>
    </row>
    <row r="2812" spans="1:4" x14ac:dyDescent="0.35">
      <c r="A2812" t="s">
        <v>2931</v>
      </c>
      <c r="B2812">
        <v>861</v>
      </c>
      <c r="C2812">
        <v>499</v>
      </c>
      <c r="D2812">
        <v>0</v>
      </c>
    </row>
    <row r="2813" spans="1:4" x14ac:dyDescent="0.35">
      <c r="A2813" t="s">
        <v>2932</v>
      </c>
      <c r="B2813">
        <v>3199</v>
      </c>
      <c r="C2813">
        <v>3091</v>
      </c>
      <c r="D2813">
        <v>0</v>
      </c>
    </row>
    <row r="2814" spans="1:4" x14ac:dyDescent="0.35">
      <c r="A2814" t="s">
        <v>2933</v>
      </c>
      <c r="B2814">
        <v>6313</v>
      </c>
      <c r="C2814">
        <v>4159</v>
      </c>
      <c r="D2814">
        <v>3</v>
      </c>
    </row>
    <row r="2815" spans="1:4" x14ac:dyDescent="0.35">
      <c r="A2815" t="s">
        <v>2934</v>
      </c>
      <c r="B2815">
        <v>8999</v>
      </c>
      <c r="C2815">
        <v>3247</v>
      </c>
      <c r="D2815">
        <v>0</v>
      </c>
    </row>
    <row r="2816" spans="1:4" x14ac:dyDescent="0.35">
      <c r="A2816" t="s">
        <v>2935</v>
      </c>
      <c r="B2816">
        <v>5000</v>
      </c>
      <c r="C2816">
        <v>2250</v>
      </c>
      <c r="D2816">
        <v>0</v>
      </c>
    </row>
    <row r="2817" spans="1:4" x14ac:dyDescent="0.35">
      <c r="A2817" t="s">
        <v>2936</v>
      </c>
      <c r="B2817">
        <v>29986</v>
      </c>
      <c r="C2817">
        <v>4068</v>
      </c>
      <c r="D2817">
        <v>2</v>
      </c>
    </row>
    <row r="2818" spans="1:4" x14ac:dyDescent="0.35">
      <c r="A2818" t="s">
        <v>2937</v>
      </c>
      <c r="B2818">
        <v>990</v>
      </c>
      <c r="C2818">
        <v>861</v>
      </c>
      <c r="D2818">
        <v>1</v>
      </c>
    </row>
    <row r="2819" spans="1:4" x14ac:dyDescent="0.35">
      <c r="A2819" t="s">
        <v>2938</v>
      </c>
      <c r="B2819">
        <v>1993</v>
      </c>
      <c r="C2819">
        <v>413</v>
      </c>
      <c r="D2819">
        <v>1</v>
      </c>
    </row>
    <row r="2820" spans="1:4" x14ac:dyDescent="0.35">
      <c r="A2820" t="s">
        <v>2939</v>
      </c>
      <c r="B2820">
        <v>190</v>
      </c>
      <c r="C2820">
        <v>81</v>
      </c>
      <c r="D2820">
        <v>1</v>
      </c>
    </row>
    <row r="2821" spans="1:4" x14ac:dyDescent="0.35">
      <c r="A2821" t="s">
        <v>2940</v>
      </c>
      <c r="B2821">
        <v>1333</v>
      </c>
      <c r="C2821">
        <v>200</v>
      </c>
      <c r="D2821">
        <v>1</v>
      </c>
    </row>
    <row r="2822" spans="1:4" x14ac:dyDescent="0.35">
      <c r="A2822" t="s">
        <v>2941</v>
      </c>
      <c r="B2822">
        <v>388</v>
      </c>
      <c r="C2822">
        <v>388</v>
      </c>
      <c r="D2822">
        <v>14</v>
      </c>
    </row>
    <row r="2823" spans="1:4" x14ac:dyDescent="0.35">
      <c r="A2823" t="s">
        <v>2942</v>
      </c>
      <c r="B2823">
        <v>219</v>
      </c>
      <c r="C2823">
        <v>1</v>
      </c>
      <c r="D2823">
        <v>0</v>
      </c>
    </row>
    <row r="2824" spans="1:4" x14ac:dyDescent="0.35">
      <c r="A2824" t="s">
        <v>2943</v>
      </c>
      <c r="B2824">
        <v>91</v>
      </c>
      <c r="C2824">
        <v>91</v>
      </c>
      <c r="D2824">
        <v>1</v>
      </c>
    </row>
    <row r="2825" spans="1:4" x14ac:dyDescent="0.35">
      <c r="A2825" t="s">
        <v>2944</v>
      </c>
      <c r="B2825">
        <v>166</v>
      </c>
      <c r="C2825">
        <v>174</v>
      </c>
      <c r="D2825">
        <v>3</v>
      </c>
    </row>
    <row r="2826" spans="1:4" x14ac:dyDescent="0.35">
      <c r="A2826" t="s">
        <v>2945</v>
      </c>
      <c r="B2826">
        <v>300</v>
      </c>
      <c r="C2826">
        <v>1</v>
      </c>
      <c r="D2826">
        <v>0</v>
      </c>
    </row>
    <row r="2827" spans="1:4" x14ac:dyDescent="0.35">
      <c r="A2827" t="s">
        <v>2946</v>
      </c>
      <c r="B2827">
        <v>585</v>
      </c>
      <c r="C2827">
        <v>500</v>
      </c>
      <c r="D2827">
        <v>3</v>
      </c>
    </row>
    <row r="2828" spans="1:4" x14ac:dyDescent="0.35">
      <c r="A2828" t="s">
        <v>2947</v>
      </c>
      <c r="B2828">
        <v>290758</v>
      </c>
      <c r="C2828">
        <v>290758</v>
      </c>
      <c r="D2828">
        <v>3</v>
      </c>
    </row>
    <row r="2829" spans="1:4" x14ac:dyDescent="0.35">
      <c r="A2829" t="s">
        <v>2948</v>
      </c>
      <c r="B2829">
        <v>248</v>
      </c>
      <c r="C2829">
        <v>383</v>
      </c>
      <c r="D2829">
        <v>0</v>
      </c>
    </row>
    <row r="2830" spans="1:4" x14ac:dyDescent="0.35">
      <c r="A2830" t="s">
        <v>2949</v>
      </c>
      <c r="B2830">
        <v>249</v>
      </c>
      <c r="C2830">
        <v>301</v>
      </c>
      <c r="D2830">
        <v>0</v>
      </c>
    </row>
    <row r="2831" spans="1:4" x14ac:dyDescent="0.35">
      <c r="A2831" t="s">
        <v>2950</v>
      </c>
      <c r="B2831">
        <v>299</v>
      </c>
      <c r="C2831">
        <v>110</v>
      </c>
      <c r="D2831">
        <v>0</v>
      </c>
    </row>
    <row r="2832" spans="1:4" x14ac:dyDescent="0.35">
      <c r="A2832" t="s">
        <v>2951</v>
      </c>
      <c r="B2832">
        <v>238</v>
      </c>
      <c r="C2832">
        <v>130</v>
      </c>
      <c r="D2832">
        <v>0</v>
      </c>
    </row>
    <row r="2833" spans="1:4" x14ac:dyDescent="0.35">
      <c r="A2833" t="s">
        <v>2952</v>
      </c>
      <c r="B2833">
        <v>31599</v>
      </c>
      <c r="C2833">
        <v>26798</v>
      </c>
      <c r="D2833">
        <v>2</v>
      </c>
    </row>
    <row r="2834" spans="1:4" x14ac:dyDescent="0.35">
      <c r="A2834" t="s">
        <v>2953</v>
      </c>
      <c r="B2834">
        <v>1323453</v>
      </c>
      <c r="C2834">
        <v>1280000</v>
      </c>
      <c r="D2834">
        <v>1</v>
      </c>
    </row>
    <row r="2835" spans="1:4" x14ac:dyDescent="0.35">
      <c r="A2835" t="s">
        <v>2954</v>
      </c>
      <c r="B2835">
        <v>11322</v>
      </c>
      <c r="C2835">
        <v>12000</v>
      </c>
      <c r="D2835">
        <v>2</v>
      </c>
    </row>
    <row r="2836" spans="1:4" x14ac:dyDescent="0.35">
      <c r="A2836" t="s">
        <v>2955</v>
      </c>
      <c r="B2836">
        <v>2944</v>
      </c>
      <c r="C2836">
        <v>2691</v>
      </c>
      <c r="D2836">
        <v>1</v>
      </c>
    </row>
    <row r="2837" spans="1:4" x14ac:dyDescent="0.35">
      <c r="A2837" t="s">
        <v>2956</v>
      </c>
      <c r="B2837">
        <v>4999</v>
      </c>
      <c r="C2837">
        <v>5555</v>
      </c>
      <c r="D2837">
        <v>0</v>
      </c>
    </row>
    <row r="2838" spans="1:4" x14ac:dyDescent="0.35">
      <c r="A2838" t="s">
        <v>2957</v>
      </c>
      <c r="B2838">
        <v>3755</v>
      </c>
      <c r="C2838">
        <v>3629</v>
      </c>
      <c r="D2838">
        <v>1875</v>
      </c>
    </row>
    <row r="2839" spans="1:4" x14ac:dyDescent="0.35">
      <c r="A2839" t="s">
        <v>2958</v>
      </c>
      <c r="B2839">
        <v>3081</v>
      </c>
      <c r="C2839">
        <v>1404</v>
      </c>
      <c r="D2839">
        <v>3</v>
      </c>
    </row>
    <row r="2840" spans="1:4" x14ac:dyDescent="0.35">
      <c r="A2840" t="s">
        <v>2959</v>
      </c>
      <c r="B2840">
        <v>81</v>
      </c>
      <c r="C2840">
        <v>141</v>
      </c>
      <c r="D2840">
        <v>0</v>
      </c>
    </row>
    <row r="2841" spans="1:4" x14ac:dyDescent="0.35">
      <c r="A2841" t="s">
        <v>2960</v>
      </c>
      <c r="B2841">
        <v>167</v>
      </c>
      <c r="C2841">
        <v>166</v>
      </c>
      <c r="D2841">
        <v>16</v>
      </c>
    </row>
    <row r="2842" spans="1:4" x14ac:dyDescent="0.35">
      <c r="A2842" t="s">
        <v>2961</v>
      </c>
      <c r="B2842">
        <v>377</v>
      </c>
      <c r="C2842">
        <v>377</v>
      </c>
      <c r="D2842">
        <v>252</v>
      </c>
    </row>
    <row r="2843" spans="1:4" x14ac:dyDescent="0.35">
      <c r="A2843" t="s">
        <v>2962</v>
      </c>
      <c r="B2843">
        <v>148</v>
      </c>
      <c r="C2843">
        <v>141</v>
      </c>
      <c r="D2843">
        <v>13311</v>
      </c>
    </row>
    <row r="2844" spans="1:4" x14ac:dyDescent="0.35">
      <c r="A2844" t="s">
        <v>2963</v>
      </c>
      <c r="B2844">
        <v>297</v>
      </c>
      <c r="C2844">
        <v>237</v>
      </c>
      <c r="D2844">
        <v>228</v>
      </c>
    </row>
    <row r="2845" spans="1:4" x14ac:dyDescent="0.35">
      <c r="A2845" t="s">
        <v>2964</v>
      </c>
      <c r="B2845">
        <v>2445</v>
      </c>
      <c r="C2845">
        <v>2000</v>
      </c>
      <c r="D2845">
        <v>0</v>
      </c>
    </row>
    <row r="2846" spans="1:4" x14ac:dyDescent="0.35">
      <c r="A2846" t="s">
        <v>2965</v>
      </c>
      <c r="B2846">
        <v>4140</v>
      </c>
      <c r="C2846">
        <v>3221</v>
      </c>
      <c r="D2846">
        <v>0</v>
      </c>
    </row>
    <row r="2847" spans="1:4" x14ac:dyDescent="0.35">
      <c r="A2847" t="s">
        <v>2966</v>
      </c>
      <c r="B2847">
        <v>46</v>
      </c>
      <c r="C2847">
        <v>150</v>
      </c>
      <c r="D2847">
        <v>0</v>
      </c>
    </row>
    <row r="2848" spans="1:4" x14ac:dyDescent="0.35">
      <c r="A2848" t="s">
        <v>2967</v>
      </c>
      <c r="B2848">
        <v>6</v>
      </c>
      <c r="C2848">
        <v>586</v>
      </c>
      <c r="D2848">
        <v>0</v>
      </c>
    </row>
    <row r="2849" spans="1:4" x14ac:dyDescent="0.35">
      <c r="A2849" t="s">
        <v>2968</v>
      </c>
      <c r="B2849">
        <v>600</v>
      </c>
      <c r="C2849">
        <v>555</v>
      </c>
      <c r="D2849">
        <v>30</v>
      </c>
    </row>
    <row r="2850" spans="1:4" x14ac:dyDescent="0.35">
      <c r="A2850" t="s">
        <v>2969</v>
      </c>
      <c r="B2850">
        <v>1010</v>
      </c>
      <c r="C2850">
        <v>900</v>
      </c>
      <c r="D2850">
        <v>0</v>
      </c>
    </row>
    <row r="2851" spans="1:4" x14ac:dyDescent="0.35">
      <c r="A2851" t="s">
        <v>2970</v>
      </c>
      <c r="B2851">
        <v>310</v>
      </c>
      <c r="C2851">
        <v>298</v>
      </c>
      <c r="D2851">
        <v>1215</v>
      </c>
    </row>
    <row r="2852" spans="1:4" x14ac:dyDescent="0.35">
      <c r="A2852" t="s">
        <v>2971</v>
      </c>
      <c r="B2852">
        <v>30</v>
      </c>
      <c r="C2852">
        <v>14</v>
      </c>
      <c r="D2852">
        <v>84</v>
      </c>
    </row>
    <row r="2853" spans="1:4" x14ac:dyDescent="0.35">
      <c r="A2853" t="s">
        <v>2972</v>
      </c>
      <c r="B2853">
        <v>9999</v>
      </c>
      <c r="C2853">
        <v>6000</v>
      </c>
      <c r="D2853">
        <v>6</v>
      </c>
    </row>
    <row r="2854" spans="1:4" x14ac:dyDescent="0.35">
      <c r="A2854" t="s">
        <v>2973</v>
      </c>
      <c r="B2854">
        <v>0</v>
      </c>
      <c r="C2854">
        <v>0</v>
      </c>
      <c r="D2854">
        <v>0</v>
      </c>
    </row>
    <row r="2855" spans="1:4" x14ac:dyDescent="0.35">
      <c r="A2855" t="s">
        <v>2974</v>
      </c>
      <c r="B2855">
        <v>10921</v>
      </c>
      <c r="C2855">
        <v>5337</v>
      </c>
      <c r="D2855">
        <v>4</v>
      </c>
    </row>
    <row r="2856" spans="1:4" x14ac:dyDescent="0.35">
      <c r="A2856" t="s">
        <v>2975</v>
      </c>
      <c r="B2856">
        <v>0</v>
      </c>
      <c r="C2856">
        <v>0</v>
      </c>
      <c r="D2856">
        <v>0</v>
      </c>
    </row>
    <row r="2857" spans="1:4" x14ac:dyDescent="0.35">
      <c r="A2857" t="s">
        <v>2976</v>
      </c>
      <c r="B2857">
        <v>10000</v>
      </c>
      <c r="C2857">
        <v>3101</v>
      </c>
      <c r="D2857">
        <v>4</v>
      </c>
    </row>
    <row r="2858" spans="1:4" x14ac:dyDescent="0.35">
      <c r="A2858" t="s">
        <v>2977</v>
      </c>
      <c r="B2858">
        <v>686</v>
      </c>
      <c r="C2858">
        <v>750</v>
      </c>
      <c r="D2858">
        <v>36</v>
      </c>
    </row>
    <row r="2859" spans="1:4" x14ac:dyDescent="0.35">
      <c r="A2859" t="s">
        <v>0</v>
      </c>
      <c r="B2859">
        <v>32</v>
      </c>
      <c r="C2859">
        <v>28</v>
      </c>
      <c r="D2859">
        <v>6546</v>
      </c>
    </row>
    <row r="2860" spans="1:4" x14ac:dyDescent="0.35">
      <c r="A2860" t="s">
        <v>2978</v>
      </c>
      <c r="B2860">
        <v>283</v>
      </c>
      <c r="C2860">
        <v>283</v>
      </c>
      <c r="D2860">
        <v>12</v>
      </c>
    </row>
    <row r="2861" spans="1:4" x14ac:dyDescent="0.35">
      <c r="A2861" t="s">
        <v>2979</v>
      </c>
      <c r="B2861">
        <v>1808</v>
      </c>
      <c r="C2861">
        <v>1808</v>
      </c>
      <c r="D2861">
        <v>12</v>
      </c>
    </row>
    <row r="2862" spans="1:4" x14ac:dyDescent="0.35">
      <c r="A2862" t="s">
        <v>2980</v>
      </c>
      <c r="B2862">
        <v>10</v>
      </c>
      <c r="C2862">
        <v>10</v>
      </c>
      <c r="D2862">
        <v>19</v>
      </c>
    </row>
    <row r="2863" spans="1:4" x14ac:dyDescent="0.35">
      <c r="A2863" t="s">
        <v>2981</v>
      </c>
      <c r="B2863">
        <v>131</v>
      </c>
      <c r="C2863">
        <v>125</v>
      </c>
      <c r="D2863">
        <v>718</v>
      </c>
    </row>
    <row r="2864" spans="1:4" x14ac:dyDescent="0.35">
      <c r="A2864" t="s">
        <v>2982</v>
      </c>
      <c r="B2864">
        <v>21</v>
      </c>
      <c r="C2864">
        <v>20</v>
      </c>
      <c r="D2864">
        <v>386</v>
      </c>
    </row>
    <row r="2865" spans="1:4" x14ac:dyDescent="0.35">
      <c r="A2865" t="s">
        <v>68</v>
      </c>
      <c r="B2865">
        <v>52</v>
      </c>
      <c r="C2865">
        <v>52</v>
      </c>
      <c r="D2865">
        <v>8222</v>
      </c>
    </row>
    <row r="2866" spans="1:4" x14ac:dyDescent="0.35">
      <c r="A2866" t="s">
        <v>2983</v>
      </c>
      <c r="B2866">
        <v>10</v>
      </c>
      <c r="C2866">
        <v>12</v>
      </c>
      <c r="D2866">
        <v>40</v>
      </c>
    </row>
    <row r="2867" spans="1:4" x14ac:dyDescent="0.35">
      <c r="A2867" t="s">
        <v>2984</v>
      </c>
      <c r="B2867">
        <v>5</v>
      </c>
      <c r="C2867">
        <v>2</v>
      </c>
      <c r="D2867">
        <v>22610</v>
      </c>
    </row>
    <row r="2868" spans="1:4" x14ac:dyDescent="0.35">
      <c r="A2868" t="s">
        <v>2985</v>
      </c>
      <c r="B2868">
        <v>716</v>
      </c>
      <c r="C2868">
        <v>330</v>
      </c>
      <c r="D2868">
        <v>107</v>
      </c>
    </row>
    <row r="2869" spans="1:4" x14ac:dyDescent="0.35">
      <c r="A2869" t="s">
        <v>2986</v>
      </c>
      <c r="B2869">
        <v>260</v>
      </c>
      <c r="C2869">
        <v>260</v>
      </c>
      <c r="D2869">
        <v>1164</v>
      </c>
    </row>
    <row r="2870" spans="1:4" x14ac:dyDescent="0.35">
      <c r="A2870" t="s">
        <v>2987</v>
      </c>
      <c r="B2870">
        <v>1500</v>
      </c>
      <c r="C2870">
        <v>938</v>
      </c>
      <c r="D2870">
        <v>10</v>
      </c>
    </row>
    <row r="2871" spans="1:4" x14ac:dyDescent="0.35">
      <c r="A2871" t="s">
        <v>2988</v>
      </c>
      <c r="B2871">
        <v>200</v>
      </c>
      <c r="C2871">
        <v>95</v>
      </c>
      <c r="D2871">
        <v>1</v>
      </c>
    </row>
    <row r="2872" spans="1:4" x14ac:dyDescent="0.35">
      <c r="A2872" t="s">
        <v>2989</v>
      </c>
      <c r="B2872">
        <v>93</v>
      </c>
      <c r="C2872">
        <v>93</v>
      </c>
      <c r="D2872">
        <v>2</v>
      </c>
    </row>
    <row r="2873" spans="1:4" x14ac:dyDescent="0.35">
      <c r="A2873" t="s">
        <v>2990</v>
      </c>
      <c r="B2873">
        <v>2167</v>
      </c>
      <c r="C2873">
        <v>2072</v>
      </c>
      <c r="D2873">
        <v>0</v>
      </c>
    </row>
    <row r="2874" spans="1:4" x14ac:dyDescent="0.35">
      <c r="A2874" t="s">
        <v>2991</v>
      </c>
      <c r="B2874">
        <v>4700</v>
      </c>
      <c r="C2874">
        <v>4424</v>
      </c>
      <c r="D2874">
        <v>0</v>
      </c>
    </row>
    <row r="2875" spans="1:4" x14ac:dyDescent="0.35">
      <c r="A2875" t="s">
        <v>2992</v>
      </c>
      <c r="B2875">
        <v>2080</v>
      </c>
      <c r="C2875">
        <v>2050</v>
      </c>
      <c r="D2875">
        <v>205</v>
      </c>
    </row>
    <row r="2876" spans="1:4" x14ac:dyDescent="0.35">
      <c r="A2876" t="s">
        <v>2993</v>
      </c>
      <c r="B2876">
        <v>4210</v>
      </c>
      <c r="C2876">
        <v>4091</v>
      </c>
      <c r="D2876">
        <v>236</v>
      </c>
    </row>
    <row r="2877" spans="1:4" x14ac:dyDescent="0.35">
      <c r="A2877" t="s">
        <v>2994</v>
      </c>
      <c r="B2877">
        <v>6174</v>
      </c>
      <c r="C2877">
        <v>6176</v>
      </c>
      <c r="D2877">
        <v>9167</v>
      </c>
    </row>
    <row r="2878" spans="1:4" x14ac:dyDescent="0.35">
      <c r="A2878" t="s">
        <v>2995</v>
      </c>
      <c r="B2878">
        <v>8426</v>
      </c>
      <c r="C2878">
        <v>8425</v>
      </c>
      <c r="D2878">
        <v>41537</v>
      </c>
    </row>
    <row r="2879" spans="1:4" x14ac:dyDescent="0.35">
      <c r="A2879" t="s">
        <v>2996</v>
      </c>
      <c r="B2879">
        <v>15323</v>
      </c>
      <c r="C2879">
        <v>15099</v>
      </c>
      <c r="D2879">
        <v>6</v>
      </c>
    </row>
    <row r="2880" spans="1:4" x14ac:dyDescent="0.35">
      <c r="A2880" t="s">
        <v>2997</v>
      </c>
      <c r="B2880">
        <v>29997</v>
      </c>
      <c r="C2880">
        <v>28000</v>
      </c>
      <c r="D2880">
        <v>0</v>
      </c>
    </row>
    <row r="2881" spans="1:4" x14ac:dyDescent="0.35">
      <c r="A2881" t="s">
        <v>2998</v>
      </c>
      <c r="B2881">
        <v>43465</v>
      </c>
      <c r="C2881">
        <v>43675</v>
      </c>
      <c r="D2881">
        <v>4</v>
      </c>
    </row>
    <row r="2882" spans="1:4" x14ac:dyDescent="0.35">
      <c r="A2882" t="s">
        <v>2999</v>
      </c>
      <c r="B2882">
        <v>58895</v>
      </c>
      <c r="C2882">
        <v>58895</v>
      </c>
      <c r="D2882">
        <v>3043</v>
      </c>
    </row>
    <row r="2883" spans="1:4" x14ac:dyDescent="0.35">
      <c r="A2883" t="s">
        <v>3000</v>
      </c>
      <c r="B2883">
        <v>375</v>
      </c>
      <c r="C2883">
        <v>101</v>
      </c>
      <c r="D2883">
        <v>11</v>
      </c>
    </row>
    <row r="2884" spans="1:4" x14ac:dyDescent="0.35">
      <c r="A2884" t="s">
        <v>3001</v>
      </c>
      <c r="B2884">
        <v>36</v>
      </c>
      <c r="C2884">
        <v>2</v>
      </c>
      <c r="D2884">
        <v>0</v>
      </c>
    </row>
    <row r="2885" spans="1:4" x14ac:dyDescent="0.35">
      <c r="A2885" t="s">
        <v>3002</v>
      </c>
      <c r="B2885">
        <v>1</v>
      </c>
      <c r="C2885">
        <v>200</v>
      </c>
      <c r="D2885">
        <v>0</v>
      </c>
    </row>
    <row r="2886" spans="1:4" x14ac:dyDescent="0.35">
      <c r="A2886" t="s">
        <v>3003</v>
      </c>
      <c r="B2886">
        <v>2500</v>
      </c>
      <c r="C2886">
        <v>130</v>
      </c>
      <c r="D2886">
        <v>0</v>
      </c>
    </row>
    <row r="2887" spans="1:4" x14ac:dyDescent="0.35">
      <c r="A2887" t="s">
        <v>3004</v>
      </c>
      <c r="B2887">
        <v>1900</v>
      </c>
      <c r="C2887">
        <v>109</v>
      </c>
      <c r="D2887">
        <v>0</v>
      </c>
    </row>
    <row r="2888" spans="1:4" x14ac:dyDescent="0.35">
      <c r="A2888" t="s">
        <v>3005</v>
      </c>
      <c r="B2888">
        <v>12</v>
      </c>
      <c r="C2888">
        <v>127</v>
      </c>
      <c r="D2888">
        <v>0</v>
      </c>
    </row>
    <row r="2889" spans="1:4" x14ac:dyDescent="0.35">
      <c r="A2889" t="s">
        <v>3006</v>
      </c>
      <c r="B2889">
        <v>24</v>
      </c>
      <c r="C2889">
        <v>2000</v>
      </c>
      <c r="D2889">
        <v>0</v>
      </c>
    </row>
    <row r="2890" spans="1:4" x14ac:dyDescent="0.35">
      <c r="A2890" t="s">
        <v>3007</v>
      </c>
      <c r="B2890">
        <v>1000</v>
      </c>
      <c r="C2890">
        <v>50</v>
      </c>
      <c r="D2890">
        <v>0</v>
      </c>
    </row>
    <row r="2891" spans="1:4" x14ac:dyDescent="0.35">
      <c r="A2891" t="s">
        <v>3008</v>
      </c>
      <c r="B2891">
        <v>1</v>
      </c>
      <c r="C2891">
        <v>28</v>
      </c>
      <c r="D2891">
        <v>0</v>
      </c>
    </row>
    <row r="2892" spans="1:4" x14ac:dyDescent="0.35">
      <c r="A2892" t="s">
        <v>3009</v>
      </c>
      <c r="B2892">
        <v>43</v>
      </c>
      <c r="C2892">
        <v>49</v>
      </c>
      <c r="D2892">
        <v>0</v>
      </c>
    </row>
    <row r="2893" spans="1:4" x14ac:dyDescent="0.35">
      <c r="A2893" t="s">
        <v>3010</v>
      </c>
      <c r="B2893">
        <v>27</v>
      </c>
      <c r="C2893">
        <v>27</v>
      </c>
      <c r="D2893">
        <v>0</v>
      </c>
    </row>
    <row r="2894" spans="1:4" x14ac:dyDescent="0.35">
      <c r="A2894" t="s">
        <v>3011</v>
      </c>
      <c r="B2894">
        <v>4</v>
      </c>
      <c r="C2894">
        <v>106</v>
      </c>
      <c r="D2894">
        <v>0</v>
      </c>
    </row>
    <row r="2895" spans="1:4" x14ac:dyDescent="0.35">
      <c r="A2895" t="s">
        <v>3012</v>
      </c>
      <c r="B2895">
        <v>1400</v>
      </c>
      <c r="C2895">
        <v>1007</v>
      </c>
      <c r="D2895">
        <v>4</v>
      </c>
    </row>
    <row r="2896" spans="1:4" x14ac:dyDescent="0.35">
      <c r="A2896" t="s">
        <v>3013</v>
      </c>
      <c r="B2896">
        <v>200</v>
      </c>
      <c r="C2896">
        <v>155</v>
      </c>
      <c r="D2896">
        <v>0</v>
      </c>
    </row>
    <row r="2897" spans="1:4" x14ac:dyDescent="0.35">
      <c r="A2897" t="s">
        <v>3014</v>
      </c>
      <c r="B2897">
        <v>200</v>
      </c>
      <c r="C2897">
        <v>300</v>
      </c>
      <c r="D2897">
        <v>0</v>
      </c>
    </row>
    <row r="2898" spans="1:4" x14ac:dyDescent="0.35">
      <c r="A2898" t="s">
        <v>3015</v>
      </c>
      <c r="B2898">
        <v>1</v>
      </c>
      <c r="C2898">
        <v>100</v>
      </c>
      <c r="D2898">
        <v>0</v>
      </c>
    </row>
    <row r="2899" spans="1:4" x14ac:dyDescent="0.35">
      <c r="A2899" t="s">
        <v>3016</v>
      </c>
      <c r="B2899">
        <v>44</v>
      </c>
      <c r="C2899">
        <v>44</v>
      </c>
      <c r="D2899">
        <v>0</v>
      </c>
    </row>
    <row r="2900" spans="1:4" x14ac:dyDescent="0.35">
      <c r="A2900" t="s">
        <v>3017</v>
      </c>
      <c r="B2900">
        <v>10000</v>
      </c>
      <c r="C2900">
        <v>100</v>
      </c>
      <c r="D2900">
        <v>0</v>
      </c>
    </row>
    <row r="2901" spans="1:4" x14ac:dyDescent="0.35">
      <c r="A2901" t="s">
        <v>3018</v>
      </c>
      <c r="B2901">
        <v>26</v>
      </c>
      <c r="C2901">
        <v>51</v>
      </c>
      <c r="D2901">
        <v>0</v>
      </c>
    </row>
    <row r="2902" spans="1:4" x14ac:dyDescent="0.35">
      <c r="A2902" t="s">
        <v>3019</v>
      </c>
      <c r="B2902">
        <v>500</v>
      </c>
      <c r="C2902">
        <v>97</v>
      </c>
      <c r="D2902">
        <v>0</v>
      </c>
    </row>
    <row r="2903" spans="1:4" x14ac:dyDescent="0.35">
      <c r="A2903" t="s">
        <v>3020</v>
      </c>
      <c r="B2903">
        <v>47</v>
      </c>
      <c r="C2903">
        <v>4</v>
      </c>
      <c r="D2903">
        <v>6</v>
      </c>
    </row>
    <row r="2904" spans="1:4" x14ac:dyDescent="0.35">
      <c r="A2904" t="s">
        <v>3021</v>
      </c>
      <c r="B2904">
        <v>46</v>
      </c>
      <c r="C2904">
        <v>2</v>
      </c>
      <c r="D2904">
        <v>5</v>
      </c>
    </row>
    <row r="2905" spans="1:4" x14ac:dyDescent="0.35">
      <c r="A2905" t="s">
        <v>3022</v>
      </c>
      <c r="B2905">
        <v>22620899</v>
      </c>
      <c r="C2905">
        <v>22084098</v>
      </c>
      <c r="D2905">
        <v>54</v>
      </c>
    </row>
    <row r="2906" spans="1:4" x14ac:dyDescent="0.35">
      <c r="A2906" t="s">
        <v>3023</v>
      </c>
      <c r="B2906">
        <v>21900000</v>
      </c>
      <c r="C2906">
        <v>22000000</v>
      </c>
      <c r="D2906">
        <v>7</v>
      </c>
    </row>
    <row r="2907" spans="1:4" x14ac:dyDescent="0.35">
      <c r="A2907" t="s">
        <v>3024</v>
      </c>
      <c r="B2907">
        <v>424</v>
      </c>
      <c r="C2907">
        <v>421</v>
      </c>
      <c r="D2907">
        <v>49</v>
      </c>
    </row>
    <row r="2908" spans="1:4" x14ac:dyDescent="0.35">
      <c r="A2908" t="s">
        <v>3025</v>
      </c>
      <c r="B2908">
        <v>6252</v>
      </c>
      <c r="C2908">
        <v>4997</v>
      </c>
      <c r="D2908">
        <v>32</v>
      </c>
    </row>
    <row r="2909" spans="1:4" x14ac:dyDescent="0.35">
      <c r="A2909" t="s">
        <v>3026</v>
      </c>
      <c r="B2909">
        <v>24423</v>
      </c>
      <c r="C2909">
        <v>22110</v>
      </c>
      <c r="D2909">
        <v>0</v>
      </c>
    </row>
    <row r="2910" spans="1:4" x14ac:dyDescent="0.35">
      <c r="A2910" t="s">
        <v>3027</v>
      </c>
      <c r="B2910">
        <v>30000</v>
      </c>
      <c r="C2910">
        <v>18005</v>
      </c>
      <c r="D2910">
        <v>4</v>
      </c>
    </row>
    <row r="2911" spans="1:4" x14ac:dyDescent="0.35">
      <c r="A2911" t="s">
        <v>3028</v>
      </c>
      <c r="B2911">
        <v>7828</v>
      </c>
      <c r="C2911">
        <v>7828</v>
      </c>
      <c r="D2911">
        <v>124</v>
      </c>
    </row>
    <row r="2912" spans="1:4" x14ac:dyDescent="0.35">
      <c r="A2912" t="s">
        <v>3029</v>
      </c>
      <c r="B2912">
        <v>5000</v>
      </c>
      <c r="C2912">
        <v>4550</v>
      </c>
      <c r="D2912">
        <v>16</v>
      </c>
    </row>
    <row r="2913" spans="1:4" x14ac:dyDescent="0.35">
      <c r="A2913" t="s">
        <v>3030</v>
      </c>
      <c r="B2913">
        <v>7999</v>
      </c>
      <c r="C2913">
        <v>6070</v>
      </c>
      <c r="D2913">
        <v>3</v>
      </c>
    </row>
    <row r="2914" spans="1:4" x14ac:dyDescent="0.35">
      <c r="A2914" t="s">
        <v>3031</v>
      </c>
      <c r="B2914">
        <v>10000</v>
      </c>
      <c r="C2914">
        <v>8950</v>
      </c>
      <c r="D2914">
        <v>62</v>
      </c>
    </row>
    <row r="2915" spans="1:4" x14ac:dyDescent="0.35">
      <c r="A2915" t="s">
        <v>3032</v>
      </c>
      <c r="B2915">
        <v>2</v>
      </c>
      <c r="C2915">
        <v>2</v>
      </c>
      <c r="D2915">
        <v>511444</v>
      </c>
    </row>
    <row r="2916" spans="1:4" x14ac:dyDescent="0.35">
      <c r="A2916" t="s">
        <v>3033</v>
      </c>
      <c r="B2916">
        <v>1758</v>
      </c>
      <c r="C2916">
        <v>1500</v>
      </c>
      <c r="D2916">
        <v>0</v>
      </c>
    </row>
    <row r="2917" spans="1:4" x14ac:dyDescent="0.35">
      <c r="A2917" t="s">
        <v>3034</v>
      </c>
      <c r="B2917">
        <v>1436</v>
      </c>
      <c r="C2917">
        <v>1436</v>
      </c>
      <c r="D2917">
        <v>0</v>
      </c>
    </row>
    <row r="2918" spans="1:4" x14ac:dyDescent="0.35">
      <c r="A2918" t="s">
        <v>3035</v>
      </c>
      <c r="B2918">
        <v>1266</v>
      </c>
      <c r="C2918">
        <v>778</v>
      </c>
      <c r="D2918">
        <v>2</v>
      </c>
    </row>
    <row r="2919" spans="1:4" x14ac:dyDescent="0.35">
      <c r="A2919" t="s">
        <v>3036</v>
      </c>
      <c r="B2919">
        <v>650</v>
      </c>
      <c r="C2919">
        <v>550</v>
      </c>
      <c r="D2919">
        <v>19</v>
      </c>
    </row>
    <row r="2920" spans="1:4" x14ac:dyDescent="0.35">
      <c r="A2920" t="s">
        <v>3037</v>
      </c>
      <c r="B2920">
        <v>2300</v>
      </c>
      <c r="C2920">
        <v>2289</v>
      </c>
      <c r="D2920">
        <v>1</v>
      </c>
    </row>
    <row r="2921" spans="1:4" x14ac:dyDescent="0.35">
      <c r="A2921" t="s">
        <v>3038</v>
      </c>
      <c r="B2921">
        <v>1433</v>
      </c>
      <c r="C2921">
        <v>1378</v>
      </c>
      <c r="D2921">
        <v>1</v>
      </c>
    </row>
    <row r="2922" spans="1:4" x14ac:dyDescent="0.35">
      <c r="A2922" t="s">
        <v>3039</v>
      </c>
      <c r="B2922">
        <v>1621</v>
      </c>
      <c r="C2922">
        <v>1858</v>
      </c>
      <c r="D2922">
        <v>1</v>
      </c>
    </row>
    <row r="2923" spans="1:4" x14ac:dyDescent="0.35">
      <c r="A2923" t="s">
        <v>3040</v>
      </c>
      <c r="B2923">
        <v>586</v>
      </c>
      <c r="C2923">
        <v>350</v>
      </c>
      <c r="D2923">
        <v>0</v>
      </c>
    </row>
    <row r="2924" spans="1:4" x14ac:dyDescent="0.35">
      <c r="A2924" t="s">
        <v>3041</v>
      </c>
      <c r="B2924">
        <v>200</v>
      </c>
      <c r="C2924">
        <v>65</v>
      </c>
      <c r="D2924">
        <v>677</v>
      </c>
    </row>
    <row r="2925" spans="1:4" x14ac:dyDescent="0.35">
      <c r="A2925" t="s">
        <v>3042</v>
      </c>
      <c r="B2925">
        <v>1000</v>
      </c>
      <c r="C2925">
        <v>500</v>
      </c>
      <c r="D2925">
        <v>2</v>
      </c>
    </row>
    <row r="2926" spans="1:4" x14ac:dyDescent="0.35">
      <c r="A2926" t="s">
        <v>3043</v>
      </c>
      <c r="B2926">
        <v>1079</v>
      </c>
      <c r="C2926">
        <v>501</v>
      </c>
      <c r="D2926">
        <v>2</v>
      </c>
    </row>
    <row r="2927" spans="1:4" x14ac:dyDescent="0.35">
      <c r="A2927" t="s">
        <v>3044</v>
      </c>
      <c r="B2927">
        <v>4999</v>
      </c>
      <c r="C2927">
        <v>1447</v>
      </c>
      <c r="D2927">
        <v>3</v>
      </c>
    </row>
    <row r="2928" spans="1:4" x14ac:dyDescent="0.35">
      <c r="A2928" t="s">
        <v>3045</v>
      </c>
      <c r="B2928">
        <v>19988</v>
      </c>
      <c r="C2928">
        <v>17082</v>
      </c>
      <c r="D2928">
        <v>20</v>
      </c>
    </row>
    <row r="2929" spans="1:4" x14ac:dyDescent="0.35">
      <c r="A2929" t="s">
        <v>3046</v>
      </c>
      <c r="B2929">
        <v>538</v>
      </c>
      <c r="C2929">
        <v>566</v>
      </c>
      <c r="D2929">
        <v>0</v>
      </c>
    </row>
    <row r="2930" spans="1:4" x14ac:dyDescent="0.35">
      <c r="A2930" t="s">
        <v>3047</v>
      </c>
      <c r="B2930">
        <v>361</v>
      </c>
      <c r="C2930">
        <v>10</v>
      </c>
      <c r="D2930">
        <v>0</v>
      </c>
    </row>
    <row r="2931" spans="1:4" x14ac:dyDescent="0.35">
      <c r="A2931" t="s">
        <v>3048</v>
      </c>
      <c r="B2931">
        <v>6408</v>
      </c>
      <c r="C2931">
        <v>6204</v>
      </c>
      <c r="D2931">
        <v>6358</v>
      </c>
    </row>
    <row r="2932" spans="1:4" x14ac:dyDescent="0.35">
      <c r="A2932" t="s">
        <v>3049</v>
      </c>
      <c r="B2932">
        <v>1878</v>
      </c>
      <c r="C2932">
        <v>1300</v>
      </c>
      <c r="D2932">
        <v>2</v>
      </c>
    </row>
    <row r="2933" spans="1:4" x14ac:dyDescent="0.35">
      <c r="A2933" t="s">
        <v>3050</v>
      </c>
      <c r="B2933">
        <v>100</v>
      </c>
      <c r="C2933">
        <v>51</v>
      </c>
      <c r="D2933">
        <v>5</v>
      </c>
    </row>
    <row r="2934" spans="1:4" x14ac:dyDescent="0.35">
      <c r="A2934" t="s">
        <v>3051</v>
      </c>
      <c r="B2934">
        <v>6100</v>
      </c>
      <c r="C2934">
        <v>5650</v>
      </c>
      <c r="D2934">
        <v>638</v>
      </c>
    </row>
    <row r="2935" spans="1:4" x14ac:dyDescent="0.35">
      <c r="A2935" t="s">
        <v>3052</v>
      </c>
      <c r="B2935">
        <v>1748</v>
      </c>
      <c r="C2935">
        <v>1500</v>
      </c>
      <c r="D2935">
        <v>0</v>
      </c>
    </row>
    <row r="2936" spans="1:4" x14ac:dyDescent="0.35">
      <c r="A2936" t="s">
        <v>3053</v>
      </c>
      <c r="B2936">
        <v>50</v>
      </c>
      <c r="C2936">
        <v>15</v>
      </c>
      <c r="D2936">
        <v>0</v>
      </c>
    </row>
    <row r="2937" spans="1:4" x14ac:dyDescent="0.35">
      <c r="A2937" t="s">
        <v>3054</v>
      </c>
      <c r="B2937">
        <v>640000</v>
      </c>
      <c r="C2937">
        <v>500000</v>
      </c>
      <c r="D2937">
        <v>0</v>
      </c>
    </row>
    <row r="2938" spans="1:4" x14ac:dyDescent="0.35">
      <c r="A2938" t="s">
        <v>3055</v>
      </c>
      <c r="B2938">
        <v>1000</v>
      </c>
      <c r="C2938">
        <v>1000</v>
      </c>
      <c r="D2938">
        <v>1</v>
      </c>
    </row>
    <row r="2939" spans="1:4" x14ac:dyDescent="0.35">
      <c r="A2939" t="s">
        <v>3056</v>
      </c>
      <c r="B2939">
        <v>250000</v>
      </c>
      <c r="C2939">
        <v>175000</v>
      </c>
      <c r="D2939">
        <v>0</v>
      </c>
    </row>
    <row r="2940" spans="1:4" x14ac:dyDescent="0.35">
      <c r="A2940" t="s">
        <v>3057</v>
      </c>
      <c r="B2940">
        <v>998882</v>
      </c>
      <c r="C2940">
        <v>780000</v>
      </c>
      <c r="D2940">
        <v>0</v>
      </c>
    </row>
    <row r="2941" spans="1:4" x14ac:dyDescent="0.35">
      <c r="A2941" t="s">
        <v>3058</v>
      </c>
      <c r="B2941">
        <v>3842837</v>
      </c>
      <c r="C2941">
        <v>2600000</v>
      </c>
      <c r="D2941">
        <v>0</v>
      </c>
    </row>
    <row r="2942" spans="1:4" x14ac:dyDescent="0.35">
      <c r="A2942" t="s">
        <v>3059</v>
      </c>
      <c r="B2942">
        <v>339819</v>
      </c>
      <c r="C2942">
        <v>201000</v>
      </c>
      <c r="D2942">
        <v>0</v>
      </c>
    </row>
    <row r="2943" spans="1:4" x14ac:dyDescent="0.35">
      <c r="A2943" t="s">
        <v>3060</v>
      </c>
      <c r="B2943">
        <v>991996</v>
      </c>
      <c r="C2943">
        <v>991996</v>
      </c>
      <c r="D2943">
        <v>0</v>
      </c>
    </row>
    <row r="2944" spans="1:4" x14ac:dyDescent="0.35">
      <c r="A2944" t="s">
        <v>3061</v>
      </c>
      <c r="B2944">
        <v>49749</v>
      </c>
      <c r="C2944">
        <v>27564</v>
      </c>
      <c r="D2944">
        <v>2</v>
      </c>
    </row>
    <row r="2945" spans="1:4" x14ac:dyDescent="0.35">
      <c r="A2945" t="s">
        <v>3062</v>
      </c>
      <c r="B2945">
        <v>39375</v>
      </c>
      <c r="C2945">
        <v>39500</v>
      </c>
      <c r="D2945">
        <v>0</v>
      </c>
    </row>
    <row r="2946" spans="1:4" x14ac:dyDescent="0.35">
      <c r="A2946" t="s">
        <v>3063</v>
      </c>
      <c r="B2946">
        <v>1648443</v>
      </c>
      <c r="C2946">
        <v>1480000</v>
      </c>
      <c r="D2946">
        <v>0</v>
      </c>
    </row>
    <row r="2947" spans="1:4" x14ac:dyDescent="0.35">
      <c r="A2947" t="s">
        <v>3064</v>
      </c>
      <c r="B2947">
        <v>2713662</v>
      </c>
      <c r="C2947">
        <v>2411118</v>
      </c>
      <c r="D2947">
        <v>1</v>
      </c>
    </row>
    <row r="2948" spans="1:4" x14ac:dyDescent="0.35">
      <c r="A2948" t="s">
        <v>3065</v>
      </c>
      <c r="B2948">
        <v>1590000</v>
      </c>
      <c r="C2948">
        <v>1308649</v>
      </c>
      <c r="D2948">
        <v>0</v>
      </c>
    </row>
    <row r="2949" spans="1:4" x14ac:dyDescent="0.35">
      <c r="A2949" t="s">
        <v>3066</v>
      </c>
      <c r="B2949">
        <v>498000</v>
      </c>
      <c r="C2949">
        <v>301283</v>
      </c>
      <c r="D2949">
        <v>0</v>
      </c>
    </row>
    <row r="2950" spans="1:4" x14ac:dyDescent="0.35">
      <c r="A2950" t="s">
        <v>3067</v>
      </c>
      <c r="B2950">
        <v>198997</v>
      </c>
      <c r="C2950">
        <v>138000</v>
      </c>
      <c r="D2950">
        <v>15</v>
      </c>
    </row>
    <row r="2951" spans="1:4" x14ac:dyDescent="0.35">
      <c r="A2951" t="s">
        <v>3068</v>
      </c>
      <c r="B2951">
        <v>987997</v>
      </c>
      <c r="C2951">
        <v>203000</v>
      </c>
      <c r="D2951">
        <v>0</v>
      </c>
    </row>
    <row r="2952" spans="1:4" x14ac:dyDescent="0.35">
      <c r="A2952" t="s">
        <v>3069</v>
      </c>
      <c r="B2952">
        <v>5939996</v>
      </c>
      <c r="C2952">
        <v>4511000</v>
      </c>
      <c r="D2952">
        <v>0</v>
      </c>
    </row>
    <row r="2953" spans="1:4" x14ac:dyDescent="0.35">
      <c r="A2953" t="s">
        <v>3070</v>
      </c>
      <c r="B2953">
        <v>40847</v>
      </c>
      <c r="C2953">
        <v>16540</v>
      </c>
      <c r="D2953">
        <v>1</v>
      </c>
    </row>
    <row r="2954" spans="1:4" x14ac:dyDescent="0.35">
      <c r="A2954" t="s">
        <v>3071</v>
      </c>
      <c r="B2954">
        <v>109020</v>
      </c>
      <c r="C2954">
        <v>40000</v>
      </c>
      <c r="D2954">
        <v>0</v>
      </c>
    </row>
    <row r="2955" spans="1:4" x14ac:dyDescent="0.35">
      <c r="A2955" t="s">
        <v>3072</v>
      </c>
      <c r="B2955">
        <v>476505</v>
      </c>
      <c r="C2955">
        <v>480000</v>
      </c>
      <c r="D2955">
        <v>0</v>
      </c>
    </row>
    <row r="2956" spans="1:4" x14ac:dyDescent="0.35">
      <c r="A2956" t="s">
        <v>3073</v>
      </c>
      <c r="B2956">
        <v>332542</v>
      </c>
      <c r="C2956">
        <v>329585</v>
      </c>
      <c r="D2956">
        <v>6</v>
      </c>
    </row>
    <row r="2957" spans="1:4" x14ac:dyDescent="0.35">
      <c r="A2957" t="s">
        <v>3074</v>
      </c>
      <c r="B2957">
        <v>649999</v>
      </c>
      <c r="C2957">
        <v>645750</v>
      </c>
      <c r="D2957">
        <v>0</v>
      </c>
    </row>
    <row r="2958" spans="1:4" x14ac:dyDescent="0.35">
      <c r="A2958" t="s">
        <v>3075</v>
      </c>
      <c r="B2958">
        <v>4225000</v>
      </c>
      <c r="C2958">
        <v>4000000</v>
      </c>
      <c r="D2958">
        <v>0</v>
      </c>
    </row>
    <row r="2959" spans="1:4" x14ac:dyDescent="0.35">
      <c r="A2959" t="s">
        <v>3076</v>
      </c>
      <c r="B2959">
        <v>22000</v>
      </c>
      <c r="C2959">
        <v>17535</v>
      </c>
      <c r="D2959">
        <v>2</v>
      </c>
    </row>
    <row r="2960" spans="1:4" x14ac:dyDescent="0.35">
      <c r="A2960" t="s">
        <v>3077</v>
      </c>
      <c r="B2960">
        <v>400000</v>
      </c>
      <c r="C2960">
        <v>35000</v>
      </c>
      <c r="D2960">
        <v>0</v>
      </c>
    </row>
    <row r="2961" spans="1:4" x14ac:dyDescent="0.35">
      <c r="A2961" t="s">
        <v>3078</v>
      </c>
      <c r="B2961">
        <v>1385000</v>
      </c>
      <c r="C2961">
        <v>800000</v>
      </c>
      <c r="D2961">
        <v>0</v>
      </c>
    </row>
    <row r="2962" spans="1:4" x14ac:dyDescent="0.35">
      <c r="A2962" t="s">
        <v>3079</v>
      </c>
      <c r="B2962">
        <v>132461</v>
      </c>
      <c r="C2962">
        <v>111333</v>
      </c>
      <c r="D2962">
        <v>1</v>
      </c>
    </row>
    <row r="2963" spans="1:4" x14ac:dyDescent="0.35">
      <c r="A2963" t="s">
        <v>3080</v>
      </c>
      <c r="B2963">
        <v>1991</v>
      </c>
      <c r="C2963">
        <v>1000</v>
      </c>
      <c r="D2963">
        <v>0</v>
      </c>
    </row>
    <row r="2964" spans="1:4" x14ac:dyDescent="0.35">
      <c r="A2964" t="s">
        <v>3081</v>
      </c>
      <c r="B2964">
        <v>1338</v>
      </c>
      <c r="C2964">
        <v>1000</v>
      </c>
      <c r="D2964">
        <v>0</v>
      </c>
    </row>
    <row r="2965" spans="1:4" x14ac:dyDescent="0.35">
      <c r="A2965" t="s">
        <v>3082</v>
      </c>
      <c r="B2965">
        <v>1406</v>
      </c>
      <c r="C2965">
        <v>1000</v>
      </c>
      <c r="D2965">
        <v>0</v>
      </c>
    </row>
    <row r="2966" spans="1:4" x14ac:dyDescent="0.35">
      <c r="A2966" t="s">
        <v>3083</v>
      </c>
      <c r="B2966">
        <v>821</v>
      </c>
      <c r="C2966">
        <v>782</v>
      </c>
      <c r="D2966">
        <v>0</v>
      </c>
    </row>
    <row r="2967" spans="1:4" x14ac:dyDescent="0.35">
      <c r="A2967" t="s">
        <v>144</v>
      </c>
      <c r="B2967">
        <v>1373</v>
      </c>
      <c r="C2967">
        <v>1280</v>
      </c>
      <c r="D2967">
        <v>37344</v>
      </c>
    </row>
    <row r="2968" spans="1:4" x14ac:dyDescent="0.35">
      <c r="A2968" t="s">
        <v>3084</v>
      </c>
      <c r="B2968">
        <v>100</v>
      </c>
      <c r="C2968">
        <v>100</v>
      </c>
      <c r="D2968">
        <v>454</v>
      </c>
    </row>
    <row r="2969" spans="1:4" x14ac:dyDescent="0.35">
      <c r="A2969" t="s">
        <v>3085</v>
      </c>
      <c r="B2969">
        <v>144</v>
      </c>
      <c r="C2969">
        <v>141</v>
      </c>
      <c r="D2969">
        <v>32</v>
      </c>
    </row>
    <row r="2970" spans="1:4" x14ac:dyDescent="0.35">
      <c r="A2970" t="s">
        <v>74</v>
      </c>
      <c r="B2970">
        <v>6090</v>
      </c>
      <c r="C2970">
        <v>6080</v>
      </c>
      <c r="D2970">
        <v>21202</v>
      </c>
    </row>
    <row r="2971" spans="1:4" x14ac:dyDescent="0.35">
      <c r="A2971" t="s">
        <v>3086</v>
      </c>
      <c r="B2971">
        <v>25575</v>
      </c>
      <c r="C2971">
        <v>24879</v>
      </c>
      <c r="D2971">
        <v>3931</v>
      </c>
    </row>
    <row r="2972" spans="1:4" x14ac:dyDescent="0.35">
      <c r="A2972" t="s">
        <v>3087</v>
      </c>
      <c r="B2972">
        <v>5700</v>
      </c>
      <c r="C2972">
        <v>5700</v>
      </c>
      <c r="D2972">
        <v>21857</v>
      </c>
    </row>
    <row r="2973" spans="1:4" x14ac:dyDescent="0.35">
      <c r="A2973" t="s">
        <v>3088</v>
      </c>
      <c r="B2973">
        <v>25750000</v>
      </c>
      <c r="C2973">
        <v>24895734</v>
      </c>
      <c r="D2973">
        <v>7</v>
      </c>
    </row>
    <row r="2974" spans="1:4" x14ac:dyDescent="0.35">
      <c r="A2974" t="s">
        <v>3089</v>
      </c>
      <c r="B2974">
        <v>439074</v>
      </c>
      <c r="C2974">
        <v>438004</v>
      </c>
      <c r="D2974">
        <v>5</v>
      </c>
    </row>
    <row r="2975" spans="1:4" x14ac:dyDescent="0.35">
      <c r="A2975" t="s">
        <v>3090</v>
      </c>
      <c r="B2975">
        <v>536401</v>
      </c>
      <c r="C2975">
        <v>503002</v>
      </c>
      <c r="D2975">
        <v>5</v>
      </c>
    </row>
    <row r="2976" spans="1:4" x14ac:dyDescent="0.35">
      <c r="A2976" t="s">
        <v>3091</v>
      </c>
      <c r="B2976">
        <v>3179846</v>
      </c>
      <c r="C2976">
        <v>3045069</v>
      </c>
      <c r="D2976">
        <v>18</v>
      </c>
    </row>
    <row r="2977" spans="1:4" x14ac:dyDescent="0.35">
      <c r="A2977" t="s">
        <v>3092</v>
      </c>
      <c r="B2977">
        <v>589</v>
      </c>
      <c r="C2977">
        <v>615</v>
      </c>
      <c r="D2977">
        <v>0</v>
      </c>
    </row>
    <row r="2978" spans="1:4" x14ac:dyDescent="0.35">
      <c r="A2978" t="s">
        <v>3093</v>
      </c>
      <c r="B2978">
        <v>1350</v>
      </c>
      <c r="C2978">
        <v>1350</v>
      </c>
      <c r="D2978">
        <v>7</v>
      </c>
    </row>
    <row r="2979" spans="1:4" x14ac:dyDescent="0.35">
      <c r="A2979" t="s">
        <v>3094</v>
      </c>
      <c r="B2979">
        <v>715</v>
      </c>
      <c r="C2979">
        <v>697</v>
      </c>
      <c r="D2979">
        <v>26</v>
      </c>
    </row>
    <row r="2980" spans="1:4" x14ac:dyDescent="0.35">
      <c r="A2980" t="s">
        <v>3095</v>
      </c>
      <c r="B2980">
        <v>1299</v>
      </c>
      <c r="C2980">
        <v>1242</v>
      </c>
      <c r="D2980">
        <v>1446</v>
      </c>
    </row>
    <row r="2981" spans="1:4" x14ac:dyDescent="0.35">
      <c r="A2981" t="s">
        <v>41</v>
      </c>
      <c r="B2981">
        <v>1900</v>
      </c>
      <c r="C2981">
        <v>1821</v>
      </c>
      <c r="D2981">
        <v>2917</v>
      </c>
    </row>
    <row r="2982" spans="1:4" x14ac:dyDescent="0.35">
      <c r="A2982" t="s">
        <v>70</v>
      </c>
      <c r="B2982">
        <v>2588</v>
      </c>
      <c r="C2982">
        <v>2480</v>
      </c>
      <c r="D2982">
        <v>14540</v>
      </c>
    </row>
    <row r="2983" spans="1:4" x14ac:dyDescent="0.35">
      <c r="A2983" t="s">
        <v>3096</v>
      </c>
      <c r="B2983">
        <v>4739</v>
      </c>
      <c r="C2983">
        <v>4001</v>
      </c>
      <c r="D2983">
        <v>0</v>
      </c>
    </row>
    <row r="2984" spans="1:4" x14ac:dyDescent="0.35">
      <c r="A2984" t="s">
        <v>3097</v>
      </c>
      <c r="B2984">
        <v>2713</v>
      </c>
      <c r="C2984">
        <v>1595</v>
      </c>
      <c r="D2984">
        <v>0</v>
      </c>
    </row>
    <row r="2985" spans="1:4" x14ac:dyDescent="0.35">
      <c r="A2985" t="s">
        <v>3098</v>
      </c>
      <c r="B2985">
        <v>27</v>
      </c>
      <c r="C2985">
        <v>22</v>
      </c>
      <c r="D2985">
        <v>26087</v>
      </c>
    </row>
    <row r="2986" spans="1:4" x14ac:dyDescent="0.35">
      <c r="A2986" t="s">
        <v>3099</v>
      </c>
      <c r="B2986">
        <v>1830</v>
      </c>
      <c r="C2986">
        <v>1800</v>
      </c>
      <c r="D2986">
        <v>54049</v>
      </c>
    </row>
    <row r="2987" spans="1:4" x14ac:dyDescent="0.35">
      <c r="A2987" t="s">
        <v>3100</v>
      </c>
      <c r="B2987">
        <v>316</v>
      </c>
      <c r="C2987">
        <v>347</v>
      </c>
      <c r="D2987">
        <v>0</v>
      </c>
    </row>
    <row r="2988" spans="1:4" x14ac:dyDescent="0.35">
      <c r="A2988" t="s">
        <v>3101</v>
      </c>
      <c r="B2988">
        <v>16</v>
      </c>
      <c r="C2988">
        <v>16</v>
      </c>
      <c r="D2988">
        <v>12417</v>
      </c>
    </row>
    <row r="2989" spans="1:4" x14ac:dyDescent="0.35">
      <c r="A2989" t="s">
        <v>3102</v>
      </c>
      <c r="B2989">
        <v>175</v>
      </c>
      <c r="C2989">
        <v>175</v>
      </c>
      <c r="D2989">
        <v>18</v>
      </c>
    </row>
    <row r="2990" spans="1:4" x14ac:dyDescent="0.35">
      <c r="A2990" t="s">
        <v>3103</v>
      </c>
      <c r="B2990">
        <v>26</v>
      </c>
      <c r="C2990">
        <v>25</v>
      </c>
      <c r="D2990">
        <v>36</v>
      </c>
    </row>
    <row r="2991" spans="1:4" x14ac:dyDescent="0.35">
      <c r="A2991" t="s">
        <v>3104</v>
      </c>
      <c r="B2991">
        <v>33</v>
      </c>
      <c r="C2991">
        <v>31</v>
      </c>
      <c r="D2991">
        <v>30</v>
      </c>
    </row>
    <row r="2992" spans="1:4" x14ac:dyDescent="0.35">
      <c r="A2992" t="s">
        <v>3105</v>
      </c>
      <c r="B2992">
        <v>41</v>
      </c>
      <c r="C2992">
        <v>41</v>
      </c>
      <c r="D2992">
        <v>126</v>
      </c>
    </row>
    <row r="2993" spans="1:4" x14ac:dyDescent="0.35">
      <c r="A2993" t="s">
        <v>3106</v>
      </c>
      <c r="B2993">
        <v>450</v>
      </c>
      <c r="C2993">
        <v>454</v>
      </c>
      <c r="D2993">
        <v>0</v>
      </c>
    </row>
    <row r="2994" spans="1:4" x14ac:dyDescent="0.35">
      <c r="A2994" t="s">
        <v>3107</v>
      </c>
      <c r="B2994">
        <v>1510</v>
      </c>
      <c r="C2994">
        <v>1525</v>
      </c>
      <c r="D2994">
        <v>2144</v>
      </c>
    </row>
    <row r="2995" spans="1:4" x14ac:dyDescent="0.35">
      <c r="A2995" t="s">
        <v>3108</v>
      </c>
      <c r="B2995">
        <v>997</v>
      </c>
      <c r="C2995">
        <v>974</v>
      </c>
      <c r="D2995">
        <v>0</v>
      </c>
    </row>
    <row r="2996" spans="1:4" x14ac:dyDescent="0.35">
      <c r="A2996" t="s">
        <v>3109</v>
      </c>
      <c r="B2996">
        <v>177</v>
      </c>
      <c r="C2996">
        <v>76</v>
      </c>
      <c r="D2996">
        <v>0</v>
      </c>
    </row>
    <row r="2997" spans="1:4" x14ac:dyDescent="0.35">
      <c r="A2997" t="s">
        <v>3110</v>
      </c>
      <c r="B2997">
        <v>25</v>
      </c>
      <c r="C2997">
        <v>22</v>
      </c>
      <c r="D2997">
        <v>790</v>
      </c>
    </row>
    <row r="2998" spans="1:4" x14ac:dyDescent="0.35">
      <c r="A2998" t="s">
        <v>3111</v>
      </c>
      <c r="B2998">
        <v>1555</v>
      </c>
      <c r="C2998">
        <v>1483</v>
      </c>
      <c r="D2998">
        <v>115</v>
      </c>
    </row>
    <row r="2999" spans="1:4" x14ac:dyDescent="0.35">
      <c r="A2999" t="s">
        <v>3112</v>
      </c>
      <c r="B2999">
        <v>29</v>
      </c>
      <c r="C2999">
        <v>27</v>
      </c>
      <c r="D2999">
        <v>61</v>
      </c>
    </row>
    <row r="3000" spans="1:4" x14ac:dyDescent="0.35">
      <c r="A3000" t="s">
        <v>3113</v>
      </c>
      <c r="B3000">
        <v>1207</v>
      </c>
      <c r="C3000">
        <v>1200</v>
      </c>
      <c r="D3000">
        <v>0</v>
      </c>
    </row>
    <row r="3001" spans="1:4" x14ac:dyDescent="0.35">
      <c r="A3001" t="s">
        <v>3114</v>
      </c>
      <c r="B3001">
        <v>602</v>
      </c>
      <c r="C3001">
        <v>550</v>
      </c>
      <c r="D3001">
        <v>260</v>
      </c>
    </row>
    <row r="3002" spans="1:4" x14ac:dyDescent="0.35">
      <c r="A3002" t="s">
        <v>3115</v>
      </c>
      <c r="B3002">
        <v>1585</v>
      </c>
      <c r="C3002">
        <v>1834</v>
      </c>
      <c r="D3002">
        <v>0</v>
      </c>
    </row>
    <row r="3003" spans="1:4" x14ac:dyDescent="0.35">
      <c r="A3003" t="s">
        <v>3116</v>
      </c>
      <c r="B3003">
        <v>1503</v>
      </c>
      <c r="C3003">
        <v>1548</v>
      </c>
      <c r="D3003">
        <v>0</v>
      </c>
    </row>
    <row r="3004" spans="1:4" x14ac:dyDescent="0.35">
      <c r="A3004" t="s">
        <v>3117</v>
      </c>
      <c r="B3004">
        <v>105</v>
      </c>
      <c r="C3004">
        <v>101</v>
      </c>
      <c r="D3004">
        <v>3138</v>
      </c>
    </row>
    <row r="3005" spans="1:4" x14ac:dyDescent="0.35">
      <c r="A3005" t="s">
        <v>3118</v>
      </c>
      <c r="B3005">
        <v>189</v>
      </c>
      <c r="C3005">
        <v>170</v>
      </c>
      <c r="D3005">
        <v>1</v>
      </c>
    </row>
    <row r="3006" spans="1:4" x14ac:dyDescent="0.35">
      <c r="A3006" t="s">
        <v>3119</v>
      </c>
      <c r="B3006">
        <v>198</v>
      </c>
      <c r="C3006">
        <v>150</v>
      </c>
      <c r="D3006">
        <v>0</v>
      </c>
    </row>
    <row r="3007" spans="1:4" x14ac:dyDescent="0.35">
      <c r="A3007" t="s">
        <v>3120</v>
      </c>
      <c r="B3007">
        <v>2500</v>
      </c>
      <c r="C3007">
        <v>2585</v>
      </c>
      <c r="D3007">
        <v>4865</v>
      </c>
    </row>
    <row r="3008" spans="1:4" x14ac:dyDescent="0.35">
      <c r="A3008" t="s">
        <v>3121</v>
      </c>
      <c r="B3008">
        <v>63</v>
      </c>
      <c r="C3008">
        <v>60</v>
      </c>
      <c r="D3008">
        <v>841</v>
      </c>
    </row>
    <row r="3009" spans="1:4" x14ac:dyDescent="0.35">
      <c r="A3009" t="s">
        <v>3122</v>
      </c>
      <c r="B3009">
        <v>724</v>
      </c>
      <c r="C3009">
        <v>433</v>
      </c>
      <c r="D3009">
        <v>0</v>
      </c>
    </row>
    <row r="3010" spans="1:4" x14ac:dyDescent="0.35">
      <c r="A3010" t="s">
        <v>3123</v>
      </c>
      <c r="B3010">
        <v>3100</v>
      </c>
      <c r="C3010">
        <v>3011</v>
      </c>
      <c r="D3010">
        <v>4667</v>
      </c>
    </row>
    <row r="3011" spans="1:4" x14ac:dyDescent="0.35">
      <c r="A3011" t="s">
        <v>3124</v>
      </c>
      <c r="B3011">
        <v>382</v>
      </c>
      <c r="C3011">
        <v>379</v>
      </c>
      <c r="D3011">
        <v>20539</v>
      </c>
    </row>
    <row r="3012" spans="1:4" x14ac:dyDescent="0.35">
      <c r="A3012" t="s">
        <v>3125</v>
      </c>
      <c r="B3012">
        <v>141</v>
      </c>
      <c r="C3012">
        <v>125</v>
      </c>
      <c r="D3012">
        <v>307</v>
      </c>
    </row>
    <row r="3013" spans="1:4" x14ac:dyDescent="0.35">
      <c r="A3013" t="s">
        <v>3126</v>
      </c>
      <c r="B3013">
        <v>283</v>
      </c>
      <c r="C3013">
        <v>280</v>
      </c>
      <c r="D3013">
        <v>52</v>
      </c>
    </row>
    <row r="3014" spans="1:4" x14ac:dyDescent="0.35">
      <c r="A3014" t="s">
        <v>3127</v>
      </c>
      <c r="B3014">
        <v>154</v>
      </c>
      <c r="C3014">
        <v>154</v>
      </c>
      <c r="D3014">
        <v>4874</v>
      </c>
    </row>
    <row r="3015" spans="1:4" x14ac:dyDescent="0.35">
      <c r="A3015" t="s">
        <v>3128</v>
      </c>
      <c r="B3015">
        <v>22</v>
      </c>
      <c r="C3015">
        <v>18</v>
      </c>
      <c r="D3015">
        <v>469</v>
      </c>
    </row>
    <row r="3016" spans="1:4" x14ac:dyDescent="0.35">
      <c r="A3016" t="s">
        <v>3129</v>
      </c>
      <c r="B3016">
        <v>1397</v>
      </c>
      <c r="C3016">
        <v>1397</v>
      </c>
      <c r="D3016">
        <v>5747</v>
      </c>
    </row>
    <row r="3017" spans="1:4" x14ac:dyDescent="0.35">
      <c r="A3017" t="s">
        <v>3130</v>
      </c>
      <c r="B3017">
        <v>6200</v>
      </c>
      <c r="C3017">
        <v>6200</v>
      </c>
      <c r="D3017">
        <v>10960</v>
      </c>
    </row>
    <row r="3018" spans="1:4" x14ac:dyDescent="0.35">
      <c r="A3018" t="s">
        <v>3131</v>
      </c>
      <c r="B3018">
        <v>234</v>
      </c>
      <c r="C3018">
        <v>230</v>
      </c>
      <c r="D3018">
        <v>41524</v>
      </c>
    </row>
    <row r="3019" spans="1:4" x14ac:dyDescent="0.35">
      <c r="A3019" t="s">
        <v>3132</v>
      </c>
      <c r="B3019">
        <v>1868</v>
      </c>
      <c r="C3019">
        <v>1800</v>
      </c>
      <c r="D3019">
        <v>246</v>
      </c>
    </row>
    <row r="3020" spans="1:4" x14ac:dyDescent="0.35">
      <c r="A3020" t="s">
        <v>3133</v>
      </c>
      <c r="B3020">
        <v>1667</v>
      </c>
      <c r="C3020">
        <v>1000</v>
      </c>
      <c r="D3020">
        <v>0</v>
      </c>
    </row>
    <row r="3021" spans="1:4" x14ac:dyDescent="0.35">
      <c r="A3021" t="s">
        <v>3134</v>
      </c>
      <c r="B3021">
        <v>1500</v>
      </c>
      <c r="C3021">
        <v>751</v>
      </c>
      <c r="D3021">
        <v>0</v>
      </c>
    </row>
    <row r="3022" spans="1:4" x14ac:dyDescent="0.35">
      <c r="A3022" t="s">
        <v>3135</v>
      </c>
      <c r="B3022">
        <v>7499</v>
      </c>
      <c r="C3022">
        <v>3500</v>
      </c>
      <c r="D3022">
        <v>8</v>
      </c>
    </row>
    <row r="3023" spans="1:4" x14ac:dyDescent="0.35">
      <c r="A3023" t="s">
        <v>3136</v>
      </c>
      <c r="B3023">
        <v>141</v>
      </c>
      <c r="C3023">
        <v>128</v>
      </c>
      <c r="D3023">
        <v>2167</v>
      </c>
    </row>
    <row r="3024" spans="1:4" x14ac:dyDescent="0.35">
      <c r="A3024" t="s">
        <v>3137</v>
      </c>
      <c r="B3024">
        <v>352</v>
      </c>
      <c r="C3024">
        <v>120</v>
      </c>
      <c r="D3024">
        <v>321</v>
      </c>
    </row>
    <row r="3025" spans="1:4" x14ac:dyDescent="0.35">
      <c r="A3025" t="s">
        <v>3138</v>
      </c>
      <c r="B3025">
        <v>180</v>
      </c>
      <c r="C3025">
        <v>180</v>
      </c>
      <c r="D3025">
        <v>0</v>
      </c>
    </row>
    <row r="3026" spans="1:4" x14ac:dyDescent="0.35">
      <c r="A3026" t="s">
        <v>3139</v>
      </c>
      <c r="B3026">
        <v>1174</v>
      </c>
      <c r="C3026">
        <v>725</v>
      </c>
      <c r="D3026">
        <v>0</v>
      </c>
    </row>
    <row r="3027" spans="1:4" x14ac:dyDescent="0.35">
      <c r="A3027" t="s">
        <v>3140</v>
      </c>
      <c r="B3027">
        <v>431</v>
      </c>
      <c r="C3027">
        <v>450</v>
      </c>
      <c r="D3027">
        <v>76</v>
      </c>
    </row>
    <row r="3028" spans="1:4" x14ac:dyDescent="0.35">
      <c r="A3028" t="s">
        <v>3141</v>
      </c>
      <c r="B3028">
        <v>40</v>
      </c>
      <c r="C3028">
        <v>40</v>
      </c>
      <c r="D3028">
        <v>99</v>
      </c>
    </row>
    <row r="3029" spans="1:4" x14ac:dyDescent="0.35">
      <c r="A3029" t="s">
        <v>3142</v>
      </c>
      <c r="B3029">
        <v>196</v>
      </c>
      <c r="C3029">
        <v>225</v>
      </c>
      <c r="D3029">
        <v>0</v>
      </c>
    </row>
    <row r="3030" spans="1:4" x14ac:dyDescent="0.35">
      <c r="A3030" t="s">
        <v>3143</v>
      </c>
      <c r="B3030">
        <v>47</v>
      </c>
      <c r="C3030">
        <v>47</v>
      </c>
      <c r="D3030">
        <v>12111</v>
      </c>
    </row>
    <row r="3031" spans="1:4" x14ac:dyDescent="0.35">
      <c r="A3031" t="s">
        <v>3144</v>
      </c>
      <c r="B3031">
        <v>47</v>
      </c>
      <c r="C3031">
        <v>46</v>
      </c>
      <c r="D3031">
        <v>89</v>
      </c>
    </row>
    <row r="3032" spans="1:4" x14ac:dyDescent="0.35">
      <c r="A3032" t="s">
        <v>3145</v>
      </c>
      <c r="B3032">
        <v>735</v>
      </c>
      <c r="C3032">
        <v>715</v>
      </c>
      <c r="D3032">
        <v>13714</v>
      </c>
    </row>
    <row r="3033" spans="1:4" x14ac:dyDescent="0.35">
      <c r="A3033" t="s">
        <v>3146</v>
      </c>
      <c r="B3033">
        <v>583</v>
      </c>
      <c r="C3033">
        <v>570</v>
      </c>
      <c r="D3033">
        <v>41202</v>
      </c>
    </row>
    <row r="3034" spans="1:4" x14ac:dyDescent="0.35">
      <c r="A3034" t="s">
        <v>3147</v>
      </c>
      <c r="B3034">
        <v>28</v>
      </c>
      <c r="C3034">
        <v>27</v>
      </c>
      <c r="D3034">
        <v>691</v>
      </c>
    </row>
    <row r="3035" spans="1:4" x14ac:dyDescent="0.35">
      <c r="A3035" t="s">
        <v>3148</v>
      </c>
      <c r="B3035">
        <v>149</v>
      </c>
      <c r="C3035">
        <v>60</v>
      </c>
      <c r="D3035">
        <v>25</v>
      </c>
    </row>
    <row r="3036" spans="1:4" x14ac:dyDescent="0.35">
      <c r="A3036" t="s">
        <v>3149</v>
      </c>
      <c r="B3036">
        <v>1448</v>
      </c>
      <c r="C3036">
        <v>1440</v>
      </c>
      <c r="D3036">
        <v>2</v>
      </c>
    </row>
    <row r="3037" spans="1:4" x14ac:dyDescent="0.35">
      <c r="A3037" t="s">
        <v>3150</v>
      </c>
      <c r="B3037">
        <v>396</v>
      </c>
      <c r="C3037">
        <v>360</v>
      </c>
      <c r="D3037">
        <v>208</v>
      </c>
    </row>
    <row r="3038" spans="1:4" x14ac:dyDescent="0.35">
      <c r="A3038" t="s">
        <v>3151</v>
      </c>
      <c r="B3038">
        <v>187</v>
      </c>
      <c r="C3038">
        <v>187</v>
      </c>
      <c r="D3038">
        <v>29292</v>
      </c>
    </row>
    <row r="3039" spans="1:4" x14ac:dyDescent="0.35">
      <c r="A3039" t="s">
        <v>3152</v>
      </c>
      <c r="B3039">
        <v>1053</v>
      </c>
      <c r="C3039">
        <v>1100</v>
      </c>
      <c r="D3039">
        <v>1387</v>
      </c>
    </row>
    <row r="3040" spans="1:4" x14ac:dyDescent="0.35">
      <c r="A3040" t="s">
        <v>3153</v>
      </c>
      <c r="B3040">
        <v>72</v>
      </c>
      <c r="C3040">
        <v>67</v>
      </c>
      <c r="D3040">
        <v>2582</v>
      </c>
    </row>
    <row r="3041" spans="1:4" x14ac:dyDescent="0.35">
      <c r="A3041" t="s">
        <v>3154</v>
      </c>
      <c r="B3041">
        <v>73</v>
      </c>
      <c r="C3041">
        <v>73</v>
      </c>
      <c r="D3041">
        <v>10298</v>
      </c>
    </row>
    <row r="3042" spans="1:4" x14ac:dyDescent="0.35">
      <c r="A3042" t="s">
        <v>3155</v>
      </c>
      <c r="B3042">
        <v>2500</v>
      </c>
      <c r="C3042">
        <v>1750</v>
      </c>
      <c r="D3042">
        <v>0</v>
      </c>
    </row>
    <row r="3043" spans="1:4" x14ac:dyDescent="0.35">
      <c r="A3043" t="s">
        <v>3156</v>
      </c>
      <c r="B3043">
        <v>620</v>
      </c>
      <c r="C3043">
        <v>570</v>
      </c>
      <c r="D3043">
        <v>0</v>
      </c>
    </row>
    <row r="3044" spans="1:4" x14ac:dyDescent="0.35">
      <c r="A3044" t="s">
        <v>3157</v>
      </c>
      <c r="B3044">
        <v>4285</v>
      </c>
      <c r="C3044">
        <v>4285</v>
      </c>
      <c r="D3044">
        <v>96</v>
      </c>
    </row>
    <row r="3045" spans="1:4" x14ac:dyDescent="0.35">
      <c r="A3045" t="s">
        <v>3158</v>
      </c>
      <c r="B3045">
        <v>1500</v>
      </c>
      <c r="C3045">
        <v>200</v>
      </c>
      <c r="D3045">
        <v>21</v>
      </c>
    </row>
    <row r="3046" spans="1:4" x14ac:dyDescent="0.35">
      <c r="A3046" t="s">
        <v>3159</v>
      </c>
      <c r="B3046">
        <v>1400</v>
      </c>
      <c r="C3046">
        <v>1279</v>
      </c>
      <c r="D3046">
        <v>109</v>
      </c>
    </row>
    <row r="3047" spans="1:4" x14ac:dyDescent="0.35">
      <c r="A3047" t="s">
        <v>3160</v>
      </c>
      <c r="B3047">
        <v>398144</v>
      </c>
      <c r="C3047">
        <v>384806</v>
      </c>
      <c r="D3047">
        <v>7</v>
      </c>
    </row>
    <row r="3048" spans="1:4" x14ac:dyDescent="0.35">
      <c r="A3048" t="s">
        <v>3161</v>
      </c>
      <c r="B3048">
        <v>2480</v>
      </c>
      <c r="C3048">
        <v>2456</v>
      </c>
      <c r="D3048">
        <v>18</v>
      </c>
    </row>
    <row r="3049" spans="1:4" x14ac:dyDescent="0.35">
      <c r="A3049" t="s">
        <v>3162</v>
      </c>
      <c r="B3049">
        <v>15665</v>
      </c>
      <c r="C3049">
        <v>15345</v>
      </c>
      <c r="D3049">
        <v>0</v>
      </c>
    </row>
    <row r="3050" spans="1:4" x14ac:dyDescent="0.35">
      <c r="A3050" t="s">
        <v>3163</v>
      </c>
      <c r="B3050">
        <v>3593</v>
      </c>
      <c r="C3050">
        <v>3304</v>
      </c>
      <c r="D3050">
        <v>4</v>
      </c>
    </row>
    <row r="3051" spans="1:4" x14ac:dyDescent="0.35">
      <c r="A3051" t="s">
        <v>3164</v>
      </c>
      <c r="B3051">
        <v>17500</v>
      </c>
      <c r="C3051">
        <v>2145</v>
      </c>
      <c r="D3051">
        <v>7</v>
      </c>
    </row>
    <row r="3052" spans="1:4" x14ac:dyDescent="0.35">
      <c r="A3052" t="s">
        <v>3165</v>
      </c>
      <c r="B3052">
        <v>144</v>
      </c>
      <c r="C3052">
        <v>110</v>
      </c>
      <c r="D3052">
        <v>11</v>
      </c>
    </row>
    <row r="3053" spans="1:4" x14ac:dyDescent="0.35">
      <c r="A3053" t="s">
        <v>3166</v>
      </c>
      <c r="B3053">
        <v>2613</v>
      </c>
      <c r="C3053">
        <v>3024</v>
      </c>
      <c r="D3053">
        <v>0</v>
      </c>
    </row>
    <row r="3054" spans="1:4" x14ac:dyDescent="0.35">
      <c r="A3054" t="s">
        <v>3167</v>
      </c>
      <c r="B3054">
        <v>1097</v>
      </c>
      <c r="C3054">
        <v>1070</v>
      </c>
      <c r="D3054">
        <v>70178</v>
      </c>
    </row>
    <row r="3055" spans="1:4" x14ac:dyDescent="0.35">
      <c r="A3055" t="s">
        <v>3168</v>
      </c>
      <c r="B3055">
        <v>74</v>
      </c>
      <c r="C3055">
        <v>50</v>
      </c>
      <c r="D3055">
        <v>0</v>
      </c>
    </row>
    <row r="3056" spans="1:4" x14ac:dyDescent="0.35">
      <c r="A3056" t="s">
        <v>3169</v>
      </c>
      <c r="B3056">
        <v>25</v>
      </c>
      <c r="C3056">
        <v>10</v>
      </c>
      <c r="D3056">
        <v>0</v>
      </c>
    </row>
    <row r="3057" spans="1:4" x14ac:dyDescent="0.35">
      <c r="A3057" t="s">
        <v>3170</v>
      </c>
      <c r="B3057">
        <v>6152</v>
      </c>
      <c r="C3057">
        <v>6150</v>
      </c>
      <c r="D3057">
        <v>2965</v>
      </c>
    </row>
    <row r="3058" spans="1:4" x14ac:dyDescent="0.35">
      <c r="A3058" t="s">
        <v>3171</v>
      </c>
      <c r="B3058">
        <v>6049</v>
      </c>
      <c r="C3058">
        <v>6000</v>
      </c>
      <c r="D3058">
        <v>9</v>
      </c>
    </row>
    <row r="3059" spans="1:4" x14ac:dyDescent="0.35">
      <c r="A3059" t="s">
        <v>3172</v>
      </c>
      <c r="B3059">
        <v>6144</v>
      </c>
      <c r="C3059">
        <v>4336</v>
      </c>
      <c r="D3059">
        <v>10</v>
      </c>
    </row>
    <row r="3060" spans="1:4" x14ac:dyDescent="0.35">
      <c r="A3060" t="s">
        <v>3173</v>
      </c>
      <c r="B3060">
        <v>2793</v>
      </c>
      <c r="C3060">
        <v>2693</v>
      </c>
      <c r="D3060">
        <v>60</v>
      </c>
    </row>
    <row r="3061" spans="1:4" x14ac:dyDescent="0.35">
      <c r="A3061" t="s">
        <v>3174</v>
      </c>
      <c r="B3061">
        <v>6278</v>
      </c>
      <c r="C3061">
        <v>6489</v>
      </c>
      <c r="D3061">
        <v>5</v>
      </c>
    </row>
    <row r="3062" spans="1:4" x14ac:dyDescent="0.35">
      <c r="A3062" t="s">
        <v>3175</v>
      </c>
      <c r="B3062">
        <v>3027</v>
      </c>
      <c r="C3062">
        <v>2830</v>
      </c>
      <c r="D3062">
        <v>0</v>
      </c>
    </row>
    <row r="3063" spans="1:4" x14ac:dyDescent="0.35">
      <c r="A3063" t="s">
        <v>3176</v>
      </c>
      <c r="B3063">
        <v>6300</v>
      </c>
      <c r="C3063">
        <v>6258</v>
      </c>
      <c r="D3063">
        <v>8</v>
      </c>
    </row>
    <row r="3064" spans="1:4" x14ac:dyDescent="0.35">
      <c r="A3064" t="s">
        <v>3177</v>
      </c>
      <c r="B3064">
        <v>1673</v>
      </c>
      <c r="C3064">
        <v>1650</v>
      </c>
      <c r="D3064">
        <v>389</v>
      </c>
    </row>
    <row r="3065" spans="1:4" x14ac:dyDescent="0.35">
      <c r="A3065" t="s">
        <v>3178</v>
      </c>
      <c r="B3065">
        <v>2914</v>
      </c>
      <c r="C3065">
        <v>2801</v>
      </c>
      <c r="D3065">
        <v>36076</v>
      </c>
    </row>
    <row r="3066" spans="1:4" x14ac:dyDescent="0.35">
      <c r="A3066" t="s">
        <v>3179</v>
      </c>
      <c r="B3066">
        <v>7500</v>
      </c>
      <c r="C3066">
        <v>5000</v>
      </c>
      <c r="D3066">
        <v>4</v>
      </c>
    </row>
    <row r="3067" spans="1:4" x14ac:dyDescent="0.35">
      <c r="A3067" t="s">
        <v>3180</v>
      </c>
      <c r="B3067">
        <v>2477</v>
      </c>
      <c r="C3067">
        <v>2485</v>
      </c>
      <c r="D3067">
        <v>32554</v>
      </c>
    </row>
    <row r="3068" spans="1:4" x14ac:dyDescent="0.35">
      <c r="A3068" t="s">
        <v>3181</v>
      </c>
      <c r="B3068">
        <v>13000</v>
      </c>
      <c r="C3068">
        <v>13004</v>
      </c>
      <c r="D3068">
        <v>1</v>
      </c>
    </row>
    <row r="3069" spans="1:4" x14ac:dyDescent="0.35">
      <c r="A3069" t="s">
        <v>3182</v>
      </c>
      <c r="B3069">
        <v>524</v>
      </c>
      <c r="C3069">
        <v>524</v>
      </c>
      <c r="D3069">
        <v>240</v>
      </c>
    </row>
    <row r="3070" spans="1:4" x14ac:dyDescent="0.35">
      <c r="A3070" t="s">
        <v>3183</v>
      </c>
      <c r="B3070">
        <v>300000</v>
      </c>
      <c r="C3070">
        <v>151899</v>
      </c>
      <c r="D3070">
        <v>0</v>
      </c>
    </row>
    <row r="3071" spans="1:4" x14ac:dyDescent="0.35">
      <c r="A3071" t="s">
        <v>3184</v>
      </c>
      <c r="B3071">
        <v>87000</v>
      </c>
      <c r="C3071">
        <v>43641</v>
      </c>
      <c r="D3071">
        <v>0</v>
      </c>
    </row>
    <row r="3072" spans="1:4" x14ac:dyDescent="0.35">
      <c r="A3072" t="s">
        <v>3185</v>
      </c>
      <c r="B3072">
        <v>23236</v>
      </c>
      <c r="C3072">
        <v>19887</v>
      </c>
      <c r="D3072">
        <v>2</v>
      </c>
    </row>
    <row r="3073" spans="1:4" x14ac:dyDescent="0.35">
      <c r="A3073" t="s">
        <v>3186</v>
      </c>
      <c r="B3073">
        <v>36448</v>
      </c>
      <c r="C3073">
        <v>40284</v>
      </c>
      <c r="D3073">
        <v>2</v>
      </c>
    </row>
    <row r="3074" spans="1:4" x14ac:dyDescent="0.35">
      <c r="A3074" t="s">
        <v>3187</v>
      </c>
      <c r="B3074">
        <v>6</v>
      </c>
      <c r="C3074">
        <v>13</v>
      </c>
      <c r="D3074">
        <v>130</v>
      </c>
    </row>
    <row r="3075" spans="1:4" x14ac:dyDescent="0.35">
      <c r="A3075" t="s">
        <v>3188</v>
      </c>
      <c r="B3075">
        <v>56</v>
      </c>
      <c r="C3075">
        <v>50</v>
      </c>
      <c r="D3075">
        <v>722</v>
      </c>
    </row>
    <row r="3076" spans="1:4" x14ac:dyDescent="0.35">
      <c r="A3076" t="s">
        <v>3189</v>
      </c>
      <c r="B3076">
        <v>550</v>
      </c>
      <c r="C3076">
        <v>406</v>
      </c>
      <c r="D3076">
        <v>6</v>
      </c>
    </row>
    <row r="3077" spans="1:4" x14ac:dyDescent="0.35">
      <c r="A3077" t="s">
        <v>3190</v>
      </c>
      <c r="B3077">
        <v>500</v>
      </c>
      <c r="C3077">
        <v>500</v>
      </c>
      <c r="D3077">
        <v>5</v>
      </c>
    </row>
    <row r="3078" spans="1:4" x14ac:dyDescent="0.35">
      <c r="A3078" t="s">
        <v>3191</v>
      </c>
      <c r="B3078">
        <v>14950</v>
      </c>
      <c r="C3078">
        <v>10275</v>
      </c>
      <c r="D3078">
        <v>7</v>
      </c>
    </row>
    <row r="3079" spans="1:4" x14ac:dyDescent="0.35">
      <c r="A3079" t="s">
        <v>3192</v>
      </c>
      <c r="B3079">
        <v>1211</v>
      </c>
      <c r="C3079">
        <v>202</v>
      </c>
      <c r="D3079">
        <v>0</v>
      </c>
    </row>
    <row r="3080" spans="1:4" x14ac:dyDescent="0.35">
      <c r="A3080" t="s">
        <v>3193</v>
      </c>
      <c r="B3080">
        <v>890</v>
      </c>
      <c r="C3080">
        <v>736</v>
      </c>
      <c r="D3080">
        <v>3</v>
      </c>
    </row>
    <row r="3081" spans="1:4" x14ac:dyDescent="0.35">
      <c r="A3081" t="s">
        <v>3194</v>
      </c>
      <c r="B3081">
        <v>13394</v>
      </c>
      <c r="C3081">
        <v>9648</v>
      </c>
      <c r="D3081">
        <v>22</v>
      </c>
    </row>
    <row r="3082" spans="1:4" x14ac:dyDescent="0.35">
      <c r="A3082" t="s">
        <v>3195</v>
      </c>
      <c r="B3082">
        <v>520</v>
      </c>
      <c r="C3082">
        <v>125</v>
      </c>
      <c r="D3082">
        <v>9</v>
      </c>
    </row>
    <row r="3083" spans="1:4" x14ac:dyDescent="0.35">
      <c r="A3083" t="s">
        <v>3196</v>
      </c>
      <c r="B3083">
        <v>520</v>
      </c>
      <c r="C3083">
        <v>125</v>
      </c>
      <c r="D3083">
        <v>0</v>
      </c>
    </row>
    <row r="3084" spans="1:4" x14ac:dyDescent="0.35">
      <c r="A3084" t="s">
        <v>3197</v>
      </c>
      <c r="B3084">
        <v>55</v>
      </c>
      <c r="C3084">
        <v>50</v>
      </c>
      <c r="D3084">
        <v>106</v>
      </c>
    </row>
    <row r="3085" spans="1:4" x14ac:dyDescent="0.35">
      <c r="A3085" t="s">
        <v>83</v>
      </c>
      <c r="B3085">
        <v>188</v>
      </c>
      <c r="C3085">
        <v>181</v>
      </c>
      <c r="D3085">
        <v>32696</v>
      </c>
    </row>
    <row r="3086" spans="1:4" x14ac:dyDescent="0.35">
      <c r="A3086" t="s">
        <v>3198</v>
      </c>
      <c r="B3086">
        <v>1588</v>
      </c>
      <c r="C3086">
        <v>1603</v>
      </c>
      <c r="D3086">
        <v>44</v>
      </c>
    </row>
    <row r="3087" spans="1:4" x14ac:dyDescent="0.35">
      <c r="A3087" t="s">
        <v>3199</v>
      </c>
      <c r="B3087">
        <v>3728</v>
      </c>
      <c r="C3087">
        <v>3551</v>
      </c>
      <c r="D3087">
        <v>1256</v>
      </c>
    </row>
    <row r="3088" spans="1:4" x14ac:dyDescent="0.35">
      <c r="A3088" t="s">
        <v>3200</v>
      </c>
      <c r="B3088">
        <v>19909</v>
      </c>
      <c r="C3088">
        <v>14559</v>
      </c>
      <c r="D3088">
        <v>8</v>
      </c>
    </row>
    <row r="3089" spans="1:4" x14ac:dyDescent="0.35">
      <c r="A3089" t="s">
        <v>3201</v>
      </c>
      <c r="B3089">
        <v>97</v>
      </c>
      <c r="C3089">
        <v>88</v>
      </c>
      <c r="D3089">
        <v>82</v>
      </c>
    </row>
    <row r="3090" spans="1:4" x14ac:dyDescent="0.35">
      <c r="A3090" t="s">
        <v>3202</v>
      </c>
      <c r="B3090">
        <v>194</v>
      </c>
      <c r="C3090">
        <v>188</v>
      </c>
      <c r="D3090">
        <v>53</v>
      </c>
    </row>
    <row r="3091" spans="1:4" x14ac:dyDescent="0.35">
      <c r="A3091" t="s">
        <v>3203</v>
      </c>
      <c r="B3091">
        <v>5</v>
      </c>
      <c r="C3091">
        <v>2</v>
      </c>
      <c r="D3091">
        <v>243</v>
      </c>
    </row>
    <row r="3092" spans="1:4" x14ac:dyDescent="0.35">
      <c r="A3092" t="s">
        <v>3204</v>
      </c>
      <c r="B3092">
        <v>2388</v>
      </c>
      <c r="C3092">
        <v>2200</v>
      </c>
      <c r="D3092">
        <v>200</v>
      </c>
    </row>
    <row r="3093" spans="1:4" x14ac:dyDescent="0.35">
      <c r="A3093" t="s">
        <v>3205</v>
      </c>
      <c r="B3093">
        <v>1185</v>
      </c>
      <c r="C3093">
        <v>1198</v>
      </c>
      <c r="D3093">
        <v>25</v>
      </c>
    </row>
    <row r="3094" spans="1:4" x14ac:dyDescent="0.35">
      <c r="A3094" t="s">
        <v>3206</v>
      </c>
      <c r="B3094">
        <v>930</v>
      </c>
      <c r="C3094">
        <v>920</v>
      </c>
      <c r="D3094">
        <v>46025</v>
      </c>
    </row>
    <row r="3095" spans="1:4" x14ac:dyDescent="0.35">
      <c r="A3095" t="s">
        <v>3207</v>
      </c>
      <c r="B3095">
        <v>4736</v>
      </c>
      <c r="C3095">
        <v>4736</v>
      </c>
      <c r="D3095">
        <v>845</v>
      </c>
    </row>
    <row r="3096" spans="1:4" x14ac:dyDescent="0.35">
      <c r="A3096" t="s">
        <v>3208</v>
      </c>
      <c r="B3096">
        <v>33388</v>
      </c>
      <c r="C3096">
        <v>31393</v>
      </c>
      <c r="D3096">
        <v>43</v>
      </c>
    </row>
    <row r="3097" spans="1:4" x14ac:dyDescent="0.35">
      <c r="A3097" t="s">
        <v>3209</v>
      </c>
      <c r="B3097">
        <v>755</v>
      </c>
      <c r="C3097">
        <v>750</v>
      </c>
      <c r="D3097">
        <v>400</v>
      </c>
    </row>
    <row r="3098" spans="1:4" x14ac:dyDescent="0.35">
      <c r="A3098" t="s">
        <v>3210</v>
      </c>
      <c r="B3098">
        <v>33695</v>
      </c>
      <c r="C3098">
        <v>33695</v>
      </c>
      <c r="D3098">
        <v>55</v>
      </c>
    </row>
    <row r="3099" spans="1:4" x14ac:dyDescent="0.35">
      <c r="A3099" t="s">
        <v>3211</v>
      </c>
      <c r="B3099">
        <v>2309506</v>
      </c>
      <c r="C3099">
        <v>2281000</v>
      </c>
      <c r="D3099">
        <v>31</v>
      </c>
    </row>
    <row r="3100" spans="1:4" x14ac:dyDescent="0.35">
      <c r="A3100" t="s">
        <v>3212</v>
      </c>
      <c r="B3100">
        <v>183</v>
      </c>
      <c r="C3100">
        <v>10</v>
      </c>
      <c r="D3100">
        <v>0</v>
      </c>
    </row>
    <row r="3101" spans="1:4" x14ac:dyDescent="0.35">
      <c r="A3101" t="s">
        <v>3213</v>
      </c>
      <c r="B3101">
        <v>395</v>
      </c>
      <c r="C3101">
        <v>59</v>
      </c>
      <c r="D3101">
        <v>0</v>
      </c>
    </row>
    <row r="3102" spans="1:4" x14ac:dyDescent="0.35">
      <c r="A3102" t="s">
        <v>3214</v>
      </c>
      <c r="B3102">
        <v>2000</v>
      </c>
      <c r="C3102">
        <v>250</v>
      </c>
      <c r="D3102">
        <v>1</v>
      </c>
    </row>
    <row r="3103" spans="1:4" x14ac:dyDescent="0.35">
      <c r="A3103" t="s">
        <v>3215</v>
      </c>
      <c r="B3103">
        <v>918</v>
      </c>
      <c r="C3103">
        <v>918</v>
      </c>
      <c r="D3103">
        <v>176</v>
      </c>
    </row>
    <row r="3104" spans="1:4" x14ac:dyDescent="0.35">
      <c r="A3104" t="s">
        <v>3216</v>
      </c>
      <c r="B3104">
        <v>258</v>
      </c>
      <c r="C3104">
        <v>501</v>
      </c>
      <c r="D3104">
        <v>0</v>
      </c>
    </row>
    <row r="3105" spans="1:4" x14ac:dyDescent="0.35">
      <c r="A3105" t="s">
        <v>3217</v>
      </c>
      <c r="B3105">
        <v>1</v>
      </c>
      <c r="C3105">
        <v>202</v>
      </c>
      <c r="D3105">
        <v>0</v>
      </c>
    </row>
    <row r="3106" spans="1:4" x14ac:dyDescent="0.35">
      <c r="A3106" t="s">
        <v>3218</v>
      </c>
      <c r="B3106">
        <v>21</v>
      </c>
      <c r="C3106">
        <v>21</v>
      </c>
      <c r="D3106">
        <v>102</v>
      </c>
    </row>
    <row r="3107" spans="1:4" x14ac:dyDescent="0.35">
      <c r="A3107" t="s">
        <v>3219</v>
      </c>
      <c r="B3107">
        <v>167</v>
      </c>
      <c r="C3107">
        <v>61</v>
      </c>
      <c r="D3107">
        <v>0</v>
      </c>
    </row>
    <row r="3108" spans="1:4" x14ac:dyDescent="0.35">
      <c r="A3108" t="s">
        <v>3220</v>
      </c>
      <c r="B3108">
        <v>104</v>
      </c>
      <c r="C3108">
        <v>94</v>
      </c>
      <c r="D3108">
        <v>0</v>
      </c>
    </row>
    <row r="3109" spans="1:4" x14ac:dyDescent="0.35">
      <c r="A3109" t="s">
        <v>3221</v>
      </c>
      <c r="B3109">
        <v>26</v>
      </c>
      <c r="C3109">
        <v>6</v>
      </c>
      <c r="D3109">
        <v>0</v>
      </c>
    </row>
    <row r="3110" spans="1:4" x14ac:dyDescent="0.35">
      <c r="A3110" t="s">
        <v>3222</v>
      </c>
      <c r="B3110">
        <v>13</v>
      </c>
      <c r="C3110">
        <v>12</v>
      </c>
      <c r="D3110">
        <v>0</v>
      </c>
    </row>
    <row r="3111" spans="1:4" x14ac:dyDescent="0.35">
      <c r="A3111" t="s">
        <v>117</v>
      </c>
      <c r="B3111">
        <v>49</v>
      </c>
      <c r="C3111">
        <v>49</v>
      </c>
      <c r="D3111">
        <v>31</v>
      </c>
    </row>
    <row r="3112" spans="1:4" x14ac:dyDescent="0.35">
      <c r="A3112" t="s">
        <v>3223</v>
      </c>
      <c r="B3112">
        <v>95</v>
      </c>
      <c r="C3112">
        <v>93</v>
      </c>
      <c r="D3112">
        <v>193</v>
      </c>
    </row>
    <row r="3113" spans="1:4" x14ac:dyDescent="0.35">
      <c r="A3113" t="s">
        <v>3224</v>
      </c>
      <c r="B3113">
        <v>806</v>
      </c>
      <c r="C3113">
        <v>770</v>
      </c>
      <c r="D3113">
        <v>3043</v>
      </c>
    </row>
    <row r="3114" spans="1:4" x14ac:dyDescent="0.35">
      <c r="A3114" t="s">
        <v>3225</v>
      </c>
      <c r="B3114">
        <v>173</v>
      </c>
      <c r="C3114">
        <v>173</v>
      </c>
      <c r="D3114">
        <v>1538330</v>
      </c>
    </row>
    <row r="3115" spans="1:4" x14ac:dyDescent="0.35">
      <c r="A3115" t="s">
        <v>3226</v>
      </c>
      <c r="B3115">
        <v>15346</v>
      </c>
      <c r="C3115">
        <v>16960</v>
      </c>
      <c r="D3115">
        <v>0</v>
      </c>
    </row>
    <row r="3116" spans="1:4" x14ac:dyDescent="0.35">
      <c r="A3116" t="s">
        <v>3227</v>
      </c>
      <c r="B3116">
        <v>46</v>
      </c>
      <c r="C3116">
        <v>10</v>
      </c>
      <c r="D3116">
        <v>4</v>
      </c>
    </row>
    <row r="3117" spans="1:4" x14ac:dyDescent="0.35">
      <c r="A3117" t="s">
        <v>3228</v>
      </c>
      <c r="B3117">
        <v>500</v>
      </c>
      <c r="C3117">
        <v>446</v>
      </c>
      <c r="D3117">
        <v>19</v>
      </c>
    </row>
    <row r="3118" spans="1:4" x14ac:dyDescent="0.35">
      <c r="A3118" t="s">
        <v>3229</v>
      </c>
      <c r="B3118">
        <v>2151732</v>
      </c>
      <c r="C3118">
        <v>2100017</v>
      </c>
      <c r="D3118">
        <v>7</v>
      </c>
    </row>
    <row r="3119" spans="1:4" x14ac:dyDescent="0.35">
      <c r="A3119" t="s">
        <v>3230</v>
      </c>
      <c r="B3119">
        <v>15090000</v>
      </c>
      <c r="C3119">
        <v>14593000</v>
      </c>
      <c r="D3119">
        <v>0</v>
      </c>
    </row>
    <row r="3120" spans="1:4" x14ac:dyDescent="0.35">
      <c r="A3120" t="s">
        <v>3231</v>
      </c>
      <c r="B3120">
        <v>745</v>
      </c>
      <c r="C3120">
        <v>736</v>
      </c>
      <c r="D3120">
        <v>2078</v>
      </c>
    </row>
    <row r="3121" spans="1:4" x14ac:dyDescent="0.35">
      <c r="A3121" t="s">
        <v>3232</v>
      </c>
      <c r="B3121">
        <v>4474041</v>
      </c>
      <c r="C3121">
        <v>4474041</v>
      </c>
      <c r="D3121">
        <v>2</v>
      </c>
    </row>
    <row r="3122" spans="1:4" x14ac:dyDescent="0.35">
      <c r="A3122" t="s">
        <v>3233</v>
      </c>
      <c r="B3122">
        <v>1104</v>
      </c>
      <c r="C3122">
        <v>1104</v>
      </c>
      <c r="D3122">
        <v>60</v>
      </c>
    </row>
    <row r="3123" spans="1:4" x14ac:dyDescent="0.35">
      <c r="A3123" t="s">
        <v>3234</v>
      </c>
      <c r="B3123">
        <v>1878</v>
      </c>
      <c r="C3123">
        <v>1827</v>
      </c>
      <c r="D3123">
        <v>92</v>
      </c>
    </row>
    <row r="3124" spans="1:4" x14ac:dyDescent="0.35">
      <c r="A3124" t="s">
        <v>3235</v>
      </c>
      <c r="B3124">
        <v>8648374</v>
      </c>
      <c r="C3124">
        <v>8405000</v>
      </c>
      <c r="D3124">
        <v>0</v>
      </c>
    </row>
    <row r="3125" spans="1:4" x14ac:dyDescent="0.35">
      <c r="A3125" t="s">
        <v>3236</v>
      </c>
      <c r="B3125">
        <v>599</v>
      </c>
      <c r="C3125">
        <v>420</v>
      </c>
      <c r="D3125">
        <v>296</v>
      </c>
    </row>
    <row r="3126" spans="1:4" x14ac:dyDescent="0.35">
      <c r="A3126" t="s">
        <v>3237</v>
      </c>
      <c r="B3126">
        <v>834</v>
      </c>
      <c r="C3126">
        <v>812</v>
      </c>
      <c r="D3126">
        <v>1889</v>
      </c>
    </row>
    <row r="3127" spans="1:4" x14ac:dyDescent="0.35">
      <c r="A3127" t="s">
        <v>3238</v>
      </c>
      <c r="B3127">
        <v>10000</v>
      </c>
      <c r="C3127">
        <v>8200</v>
      </c>
      <c r="D3127">
        <v>5</v>
      </c>
    </row>
    <row r="3128" spans="1:4" x14ac:dyDescent="0.35">
      <c r="A3128" t="s">
        <v>3239</v>
      </c>
      <c r="B3128">
        <v>1041719</v>
      </c>
      <c r="C3128">
        <v>960374</v>
      </c>
      <c r="D3128">
        <v>5</v>
      </c>
    </row>
    <row r="3129" spans="1:4" x14ac:dyDescent="0.35">
      <c r="A3129" t="s">
        <v>3240</v>
      </c>
      <c r="B3129">
        <v>21944000</v>
      </c>
      <c r="C3129">
        <v>21198489</v>
      </c>
      <c r="D3129">
        <v>24</v>
      </c>
    </row>
    <row r="3130" spans="1:4" x14ac:dyDescent="0.35">
      <c r="A3130" t="s">
        <v>3241</v>
      </c>
      <c r="B3130">
        <v>787168</v>
      </c>
      <c r="C3130">
        <v>746110</v>
      </c>
      <c r="D3130">
        <v>10</v>
      </c>
    </row>
    <row r="3131" spans="1:4" x14ac:dyDescent="0.35">
      <c r="A3131" t="s">
        <v>3242</v>
      </c>
      <c r="B3131">
        <v>839930</v>
      </c>
      <c r="C3131">
        <v>787903</v>
      </c>
      <c r="D3131">
        <v>9</v>
      </c>
    </row>
    <row r="3132" spans="1:4" x14ac:dyDescent="0.35">
      <c r="A3132" t="s">
        <v>3243</v>
      </c>
      <c r="B3132">
        <v>12206</v>
      </c>
      <c r="C3132">
        <v>12150</v>
      </c>
      <c r="D3132">
        <v>1559</v>
      </c>
    </row>
    <row r="3133" spans="1:4" x14ac:dyDescent="0.35">
      <c r="A3133" t="s">
        <v>3244</v>
      </c>
      <c r="B3133">
        <v>13299</v>
      </c>
      <c r="C3133">
        <v>13051</v>
      </c>
      <c r="D3133">
        <v>3678</v>
      </c>
    </row>
    <row r="3134" spans="1:4" x14ac:dyDescent="0.35">
      <c r="A3134" t="s">
        <v>3245</v>
      </c>
      <c r="B3134">
        <v>3855</v>
      </c>
      <c r="C3134">
        <v>3754</v>
      </c>
      <c r="D3134">
        <v>33</v>
      </c>
    </row>
    <row r="3135" spans="1:4" x14ac:dyDescent="0.35">
      <c r="A3135" t="s">
        <v>3246</v>
      </c>
      <c r="B3135">
        <v>64000</v>
      </c>
      <c r="C3135">
        <v>25100</v>
      </c>
      <c r="D3135">
        <v>0</v>
      </c>
    </row>
    <row r="3136" spans="1:4" x14ac:dyDescent="0.35">
      <c r="A3136" t="s">
        <v>3247</v>
      </c>
      <c r="B3136">
        <v>2527</v>
      </c>
      <c r="C3136">
        <v>2108</v>
      </c>
      <c r="D3136">
        <v>3</v>
      </c>
    </row>
    <row r="3137" spans="1:4" x14ac:dyDescent="0.35">
      <c r="A3137" t="s">
        <v>3248</v>
      </c>
      <c r="B3137">
        <v>400</v>
      </c>
      <c r="C3137">
        <v>10</v>
      </c>
      <c r="D3137">
        <v>0</v>
      </c>
    </row>
    <row r="3138" spans="1:4" x14ac:dyDescent="0.35">
      <c r="A3138" t="s">
        <v>3249</v>
      </c>
      <c r="B3138">
        <v>16</v>
      </c>
      <c r="C3138">
        <v>1000</v>
      </c>
      <c r="D3138">
        <v>0</v>
      </c>
    </row>
    <row r="3139" spans="1:4" x14ac:dyDescent="0.35">
      <c r="A3139" t="s">
        <v>3250</v>
      </c>
      <c r="B3139">
        <v>236</v>
      </c>
      <c r="C3139">
        <v>69</v>
      </c>
      <c r="D3139">
        <v>0</v>
      </c>
    </row>
    <row r="3140" spans="1:4" x14ac:dyDescent="0.35">
      <c r="A3140" t="s">
        <v>3251</v>
      </c>
      <c r="B3140">
        <v>56235</v>
      </c>
      <c r="C3140">
        <v>46000</v>
      </c>
      <c r="D3140">
        <v>2</v>
      </c>
    </row>
    <row r="3141" spans="1:4" x14ac:dyDescent="0.35">
      <c r="A3141" t="s">
        <v>3252</v>
      </c>
      <c r="B3141">
        <v>76000</v>
      </c>
      <c r="C3141">
        <v>70575</v>
      </c>
      <c r="D3141">
        <v>5</v>
      </c>
    </row>
    <row r="3142" spans="1:4" x14ac:dyDescent="0.35">
      <c r="A3142" t="s">
        <v>3253</v>
      </c>
      <c r="B3142">
        <v>1337762</v>
      </c>
      <c r="C3142">
        <v>1304957</v>
      </c>
      <c r="D3142">
        <v>42</v>
      </c>
    </row>
    <row r="3143" spans="1:4" x14ac:dyDescent="0.35">
      <c r="A3143" t="s">
        <v>3254</v>
      </c>
      <c r="B3143">
        <v>687</v>
      </c>
      <c r="C3143">
        <v>400</v>
      </c>
      <c r="D3143">
        <v>3</v>
      </c>
    </row>
    <row r="3144" spans="1:4" x14ac:dyDescent="0.35">
      <c r="A3144" t="s">
        <v>3255</v>
      </c>
      <c r="B3144">
        <v>290</v>
      </c>
      <c r="C3144">
        <v>300</v>
      </c>
      <c r="D3144">
        <v>1180</v>
      </c>
    </row>
    <row r="3145" spans="1:4" x14ac:dyDescent="0.35">
      <c r="A3145" t="s">
        <v>3256</v>
      </c>
      <c r="B3145">
        <v>0</v>
      </c>
      <c r="C3145">
        <v>0</v>
      </c>
      <c r="D3145">
        <v>0</v>
      </c>
    </row>
    <row r="3146" spans="1:4" x14ac:dyDescent="0.35">
      <c r="A3146" t="s">
        <v>3257</v>
      </c>
      <c r="B3146">
        <v>137681</v>
      </c>
      <c r="C3146">
        <v>350000</v>
      </c>
      <c r="D3146">
        <v>0</v>
      </c>
    </row>
    <row r="3147" spans="1:4" x14ac:dyDescent="0.35">
      <c r="A3147" t="s">
        <v>3258</v>
      </c>
      <c r="B3147">
        <v>116</v>
      </c>
      <c r="C3147">
        <v>101</v>
      </c>
      <c r="D3147">
        <v>0</v>
      </c>
    </row>
    <row r="3148" spans="1:4" x14ac:dyDescent="0.35">
      <c r="A3148" t="s">
        <v>3259</v>
      </c>
      <c r="B3148">
        <v>12500</v>
      </c>
      <c r="C3148">
        <v>12128</v>
      </c>
      <c r="D3148">
        <v>1</v>
      </c>
    </row>
    <row r="3149" spans="1:4" x14ac:dyDescent="0.35">
      <c r="A3149" t="s">
        <v>3260</v>
      </c>
      <c r="B3149">
        <v>299</v>
      </c>
      <c r="C3149">
        <v>20</v>
      </c>
      <c r="D3149">
        <v>1</v>
      </c>
    </row>
    <row r="3150" spans="1:4" x14ac:dyDescent="0.35">
      <c r="A3150" t="s">
        <v>3261</v>
      </c>
      <c r="B3150">
        <v>23326</v>
      </c>
      <c r="C3150">
        <v>19501</v>
      </c>
      <c r="D3150">
        <v>1</v>
      </c>
    </row>
    <row r="3151" spans="1:4" x14ac:dyDescent="0.35">
      <c r="A3151" t="s">
        <v>3262</v>
      </c>
      <c r="B3151">
        <v>41187</v>
      </c>
      <c r="C3151">
        <v>37887</v>
      </c>
      <c r="D3151">
        <v>18</v>
      </c>
    </row>
    <row r="3152" spans="1:4" x14ac:dyDescent="0.35">
      <c r="A3152" t="s">
        <v>3263</v>
      </c>
      <c r="B3152">
        <v>38268</v>
      </c>
      <c r="C3152">
        <v>38268</v>
      </c>
      <c r="D3152">
        <v>4</v>
      </c>
    </row>
    <row r="3153" spans="1:4" x14ac:dyDescent="0.35">
      <c r="A3153" t="s">
        <v>3264</v>
      </c>
      <c r="B3153">
        <v>19452</v>
      </c>
      <c r="C3153">
        <v>20001</v>
      </c>
      <c r="D3153">
        <v>0</v>
      </c>
    </row>
    <row r="3154" spans="1:4" x14ac:dyDescent="0.35">
      <c r="A3154" t="s">
        <v>3265</v>
      </c>
      <c r="B3154">
        <v>21999</v>
      </c>
      <c r="C3154">
        <v>22000</v>
      </c>
      <c r="D3154">
        <v>0</v>
      </c>
    </row>
    <row r="3155" spans="1:4" x14ac:dyDescent="0.35">
      <c r="A3155" t="s">
        <v>3266</v>
      </c>
      <c r="B3155">
        <v>100000</v>
      </c>
      <c r="C3155">
        <v>251</v>
      </c>
      <c r="D3155">
        <v>0</v>
      </c>
    </row>
    <row r="3156" spans="1:4" x14ac:dyDescent="0.35">
      <c r="A3156" t="s">
        <v>3267</v>
      </c>
      <c r="B3156">
        <v>86</v>
      </c>
      <c r="C3156">
        <v>82</v>
      </c>
      <c r="D3156">
        <v>15</v>
      </c>
    </row>
    <row r="3157" spans="1:4" x14ac:dyDescent="0.35">
      <c r="A3157" t="s">
        <v>3268</v>
      </c>
      <c r="B3157">
        <v>21382</v>
      </c>
      <c r="C3157">
        <v>16000</v>
      </c>
      <c r="D3157">
        <v>2</v>
      </c>
    </row>
    <row r="3158" spans="1:4" x14ac:dyDescent="0.35">
      <c r="A3158" t="s">
        <v>3269</v>
      </c>
      <c r="B3158">
        <v>50</v>
      </c>
      <c r="C3158">
        <v>45</v>
      </c>
      <c r="D3158">
        <v>1149</v>
      </c>
    </row>
    <row r="3159" spans="1:4" x14ac:dyDescent="0.35">
      <c r="A3159" t="s">
        <v>3270</v>
      </c>
      <c r="B3159">
        <v>2</v>
      </c>
      <c r="C3159">
        <v>2</v>
      </c>
      <c r="D3159">
        <v>0</v>
      </c>
    </row>
    <row r="3160" spans="1:4" x14ac:dyDescent="0.35">
      <c r="A3160" t="s">
        <v>3271</v>
      </c>
      <c r="B3160">
        <v>3</v>
      </c>
      <c r="C3160">
        <v>5</v>
      </c>
      <c r="D3160">
        <v>29</v>
      </c>
    </row>
    <row r="3161" spans="1:4" x14ac:dyDescent="0.35">
      <c r="A3161" t="s">
        <v>3272</v>
      </c>
      <c r="B3161">
        <v>1610000</v>
      </c>
      <c r="C3161">
        <v>1546310</v>
      </c>
      <c r="D3161">
        <v>29</v>
      </c>
    </row>
    <row r="3162" spans="1:4" x14ac:dyDescent="0.35">
      <c r="A3162" t="s">
        <v>3273</v>
      </c>
      <c r="B3162">
        <v>10393</v>
      </c>
      <c r="C3162">
        <v>10393</v>
      </c>
      <c r="D3162">
        <v>3960</v>
      </c>
    </row>
    <row r="3163" spans="1:4" x14ac:dyDescent="0.35">
      <c r="A3163" t="s">
        <v>3274</v>
      </c>
      <c r="B3163">
        <v>900</v>
      </c>
      <c r="C3163">
        <v>825</v>
      </c>
      <c r="D3163">
        <v>1628</v>
      </c>
    </row>
    <row r="3164" spans="1:4" x14ac:dyDescent="0.35">
      <c r="A3164" t="s">
        <v>3275</v>
      </c>
      <c r="B3164">
        <v>6300</v>
      </c>
      <c r="C3164">
        <v>6300</v>
      </c>
      <c r="D3164">
        <v>3935</v>
      </c>
    </row>
    <row r="3165" spans="1:4" x14ac:dyDescent="0.35">
      <c r="A3165" t="s">
        <v>3276</v>
      </c>
      <c r="B3165">
        <v>4934</v>
      </c>
      <c r="C3165">
        <v>4808</v>
      </c>
      <c r="D3165">
        <v>250</v>
      </c>
    </row>
    <row r="3166" spans="1:4" x14ac:dyDescent="0.35">
      <c r="A3166" t="s">
        <v>3277</v>
      </c>
      <c r="B3166">
        <v>70000</v>
      </c>
      <c r="C3166">
        <v>42814</v>
      </c>
      <c r="D3166">
        <v>0</v>
      </c>
    </row>
    <row r="3167" spans="1:4" x14ac:dyDescent="0.35">
      <c r="A3167" t="s">
        <v>3278</v>
      </c>
      <c r="B3167">
        <v>167580</v>
      </c>
      <c r="C3167">
        <v>154383</v>
      </c>
      <c r="D3167">
        <v>3</v>
      </c>
    </row>
    <row r="3168" spans="1:4" x14ac:dyDescent="0.35">
      <c r="A3168" t="s">
        <v>3279</v>
      </c>
      <c r="B3168">
        <v>162000</v>
      </c>
      <c r="C3168">
        <v>162000</v>
      </c>
      <c r="D3168">
        <v>13</v>
      </c>
    </row>
    <row r="3169" spans="1:4" x14ac:dyDescent="0.35">
      <c r="A3169" t="s">
        <v>3280</v>
      </c>
      <c r="B3169">
        <v>83328</v>
      </c>
      <c r="C3169">
        <v>65101</v>
      </c>
      <c r="D3169">
        <v>0</v>
      </c>
    </row>
    <row r="3170" spans="1:4" x14ac:dyDescent="0.35">
      <c r="A3170" t="s">
        <v>3281</v>
      </c>
      <c r="B3170">
        <v>3824</v>
      </c>
      <c r="C3170">
        <v>1050</v>
      </c>
      <c r="D3170">
        <v>0</v>
      </c>
    </row>
    <row r="3171" spans="1:4" x14ac:dyDescent="0.35">
      <c r="A3171" t="s">
        <v>3282</v>
      </c>
      <c r="B3171">
        <v>31513</v>
      </c>
      <c r="C3171">
        <v>26193</v>
      </c>
      <c r="D3171">
        <v>0</v>
      </c>
    </row>
    <row r="3172" spans="1:4" x14ac:dyDescent="0.35">
      <c r="A3172" t="s">
        <v>3283</v>
      </c>
      <c r="B3172">
        <v>12120</v>
      </c>
      <c r="C3172">
        <v>5000</v>
      </c>
      <c r="D3172">
        <v>1</v>
      </c>
    </row>
    <row r="3173" spans="1:4" x14ac:dyDescent="0.35">
      <c r="A3173" t="s">
        <v>3284</v>
      </c>
      <c r="B3173">
        <v>923</v>
      </c>
      <c r="C3173">
        <v>912</v>
      </c>
      <c r="D3173">
        <v>41714</v>
      </c>
    </row>
    <row r="3174" spans="1:4" x14ac:dyDescent="0.35">
      <c r="A3174" t="s">
        <v>3285</v>
      </c>
      <c r="B3174">
        <v>1121</v>
      </c>
      <c r="C3174">
        <v>1121</v>
      </c>
      <c r="D3174">
        <v>79</v>
      </c>
    </row>
    <row r="3175" spans="1:4" x14ac:dyDescent="0.35">
      <c r="A3175" t="s">
        <v>3286</v>
      </c>
      <c r="B3175">
        <v>1138</v>
      </c>
      <c r="C3175">
        <v>1068</v>
      </c>
      <c r="D3175">
        <v>1432</v>
      </c>
    </row>
    <row r="3176" spans="1:4" x14ac:dyDescent="0.35">
      <c r="A3176" t="s">
        <v>3287</v>
      </c>
      <c r="B3176">
        <v>105</v>
      </c>
      <c r="C3176">
        <v>101</v>
      </c>
      <c r="D3176">
        <v>27663</v>
      </c>
    </row>
    <row r="3177" spans="1:4" x14ac:dyDescent="0.35">
      <c r="A3177" t="s">
        <v>3288</v>
      </c>
      <c r="B3177">
        <v>300</v>
      </c>
      <c r="C3177">
        <v>287</v>
      </c>
      <c r="D3177">
        <v>32554</v>
      </c>
    </row>
    <row r="3178" spans="1:4" x14ac:dyDescent="0.35">
      <c r="A3178" t="s">
        <v>3289</v>
      </c>
      <c r="B3178">
        <v>164</v>
      </c>
      <c r="C3178">
        <v>149</v>
      </c>
      <c r="D3178">
        <v>117307</v>
      </c>
    </row>
    <row r="3179" spans="1:4" x14ac:dyDescent="0.35">
      <c r="A3179" t="s">
        <v>3290</v>
      </c>
      <c r="B3179">
        <v>1145</v>
      </c>
      <c r="C3179">
        <v>1100</v>
      </c>
      <c r="D3179">
        <v>1744</v>
      </c>
    </row>
    <row r="3180" spans="1:4" x14ac:dyDescent="0.35">
      <c r="A3180" t="s">
        <v>3291</v>
      </c>
      <c r="B3180">
        <v>3180</v>
      </c>
      <c r="C3180">
        <v>3185</v>
      </c>
      <c r="D3180">
        <v>11541</v>
      </c>
    </row>
    <row r="3181" spans="1:4" x14ac:dyDescent="0.35">
      <c r="A3181" t="s">
        <v>3292</v>
      </c>
      <c r="B3181">
        <v>3200</v>
      </c>
      <c r="C3181">
        <v>3162</v>
      </c>
      <c r="D3181">
        <v>58761</v>
      </c>
    </row>
    <row r="3182" spans="1:4" x14ac:dyDescent="0.35">
      <c r="A3182" t="s">
        <v>3293</v>
      </c>
      <c r="B3182">
        <v>71</v>
      </c>
      <c r="C3182">
        <v>71</v>
      </c>
      <c r="D3182">
        <v>0</v>
      </c>
    </row>
    <row r="3183" spans="1:4" x14ac:dyDescent="0.35">
      <c r="A3183" t="s">
        <v>3294</v>
      </c>
      <c r="B3183">
        <v>722</v>
      </c>
      <c r="C3183">
        <v>199000</v>
      </c>
      <c r="D3183">
        <v>0</v>
      </c>
    </row>
    <row r="3184" spans="1:4" x14ac:dyDescent="0.35">
      <c r="A3184" t="s">
        <v>3295</v>
      </c>
      <c r="B3184">
        <v>1029</v>
      </c>
      <c r="C3184">
        <v>774</v>
      </c>
      <c r="D3184">
        <v>0</v>
      </c>
    </row>
    <row r="3185" spans="1:4" x14ac:dyDescent="0.35">
      <c r="A3185" t="s">
        <v>3296</v>
      </c>
      <c r="B3185">
        <v>1205</v>
      </c>
      <c r="C3185">
        <v>1195</v>
      </c>
      <c r="D3185">
        <v>16337</v>
      </c>
    </row>
    <row r="3186" spans="1:4" x14ac:dyDescent="0.35">
      <c r="A3186" t="s">
        <v>3297</v>
      </c>
      <c r="B3186">
        <v>1129</v>
      </c>
      <c r="C3186">
        <v>1103</v>
      </c>
      <c r="D3186">
        <v>610</v>
      </c>
    </row>
    <row r="3187" spans="1:4" x14ac:dyDescent="0.35">
      <c r="A3187" t="s">
        <v>3298</v>
      </c>
      <c r="B3187">
        <v>150</v>
      </c>
      <c r="C3187">
        <v>150</v>
      </c>
      <c r="D3187">
        <v>580</v>
      </c>
    </row>
    <row r="3188" spans="1:4" x14ac:dyDescent="0.35">
      <c r="A3188" t="s">
        <v>3299</v>
      </c>
      <c r="B3188">
        <v>20000</v>
      </c>
      <c r="C3188">
        <v>7000</v>
      </c>
      <c r="D3188">
        <v>1</v>
      </c>
    </row>
    <row r="3189" spans="1:4" x14ac:dyDescent="0.35">
      <c r="A3189" t="s">
        <v>3300</v>
      </c>
      <c r="B3189">
        <v>30000</v>
      </c>
      <c r="C3189">
        <v>30000</v>
      </c>
      <c r="D3189">
        <v>2</v>
      </c>
    </row>
    <row r="3190" spans="1:4" x14ac:dyDescent="0.35">
      <c r="A3190" t="s">
        <v>3301</v>
      </c>
      <c r="B3190">
        <v>38600</v>
      </c>
      <c r="C3190">
        <v>38288</v>
      </c>
      <c r="D3190">
        <v>974</v>
      </c>
    </row>
    <row r="3191" spans="1:4" x14ac:dyDescent="0.35">
      <c r="A3191" t="s">
        <v>3302</v>
      </c>
      <c r="B3191">
        <v>135679</v>
      </c>
      <c r="C3191">
        <v>129700</v>
      </c>
      <c r="D3191">
        <v>14</v>
      </c>
    </row>
    <row r="3192" spans="1:4" x14ac:dyDescent="0.35">
      <c r="A3192" t="s">
        <v>3303</v>
      </c>
      <c r="B3192">
        <v>132065</v>
      </c>
      <c r="C3192">
        <v>128200</v>
      </c>
      <c r="D3192">
        <v>2</v>
      </c>
    </row>
    <row r="3193" spans="1:4" x14ac:dyDescent="0.35">
      <c r="A3193" t="s">
        <v>3304</v>
      </c>
      <c r="B3193">
        <v>90</v>
      </c>
      <c r="C3193">
        <v>83</v>
      </c>
      <c r="D3193">
        <v>364587</v>
      </c>
    </row>
    <row r="3194" spans="1:4" x14ac:dyDescent="0.35">
      <c r="A3194" t="s">
        <v>3305</v>
      </c>
      <c r="B3194">
        <v>239</v>
      </c>
      <c r="C3194">
        <v>101</v>
      </c>
      <c r="D3194">
        <v>0</v>
      </c>
    </row>
    <row r="3195" spans="1:4" x14ac:dyDescent="0.35">
      <c r="A3195" t="s">
        <v>3306</v>
      </c>
      <c r="B3195">
        <v>382</v>
      </c>
      <c r="C3195">
        <v>460</v>
      </c>
      <c r="D3195">
        <v>0</v>
      </c>
    </row>
    <row r="3196" spans="1:4" x14ac:dyDescent="0.35">
      <c r="A3196" t="s">
        <v>3307</v>
      </c>
      <c r="B3196">
        <v>1065</v>
      </c>
      <c r="C3196">
        <v>1006</v>
      </c>
      <c r="D3196">
        <v>5</v>
      </c>
    </row>
    <row r="3197" spans="1:4" x14ac:dyDescent="0.35">
      <c r="A3197" t="s">
        <v>3308</v>
      </c>
      <c r="B3197">
        <v>255</v>
      </c>
      <c r="C3197">
        <v>252</v>
      </c>
      <c r="D3197">
        <v>1787</v>
      </c>
    </row>
    <row r="3198" spans="1:4" x14ac:dyDescent="0.35">
      <c r="A3198" t="s">
        <v>3309</v>
      </c>
      <c r="B3198">
        <v>7800</v>
      </c>
      <c r="C3198">
        <v>7553</v>
      </c>
      <c r="D3198">
        <v>1122</v>
      </c>
    </row>
    <row r="3199" spans="1:4" x14ac:dyDescent="0.35">
      <c r="A3199" t="s">
        <v>3310</v>
      </c>
      <c r="B3199">
        <v>24677</v>
      </c>
      <c r="C3199">
        <v>24677</v>
      </c>
      <c r="D3199">
        <v>1391</v>
      </c>
    </row>
    <row r="3200" spans="1:4" x14ac:dyDescent="0.35">
      <c r="A3200" t="s">
        <v>3311</v>
      </c>
      <c r="B3200">
        <v>7502</v>
      </c>
      <c r="C3200">
        <v>7151</v>
      </c>
      <c r="D3200">
        <v>116</v>
      </c>
    </row>
    <row r="3201" spans="1:4" x14ac:dyDescent="0.35">
      <c r="A3201" t="s">
        <v>3312</v>
      </c>
      <c r="B3201">
        <v>1070</v>
      </c>
      <c r="C3201">
        <v>980</v>
      </c>
      <c r="D3201">
        <v>4329</v>
      </c>
    </row>
    <row r="3202" spans="1:4" x14ac:dyDescent="0.35">
      <c r="A3202" t="s">
        <v>3313</v>
      </c>
      <c r="B3202">
        <v>9000</v>
      </c>
      <c r="C3202">
        <v>7400</v>
      </c>
      <c r="D3202">
        <v>3</v>
      </c>
    </row>
    <row r="3203" spans="1:4" x14ac:dyDescent="0.35">
      <c r="A3203" t="s">
        <v>3314</v>
      </c>
      <c r="B3203">
        <v>771</v>
      </c>
      <c r="C3203">
        <v>755</v>
      </c>
      <c r="D3203">
        <v>45729</v>
      </c>
    </row>
    <row r="3204" spans="1:4" x14ac:dyDescent="0.35">
      <c r="A3204" t="s">
        <v>3315</v>
      </c>
      <c r="B3204">
        <v>29782</v>
      </c>
      <c r="C3204">
        <v>29701</v>
      </c>
      <c r="D3204">
        <v>1499</v>
      </c>
    </row>
    <row r="3205" spans="1:4" x14ac:dyDescent="0.35">
      <c r="A3205" t="s">
        <v>3316</v>
      </c>
      <c r="B3205">
        <v>7954</v>
      </c>
      <c r="C3205">
        <v>6602</v>
      </c>
      <c r="D3205">
        <v>199</v>
      </c>
    </row>
    <row r="3206" spans="1:4" x14ac:dyDescent="0.35">
      <c r="A3206" t="s">
        <v>3317</v>
      </c>
      <c r="B3206">
        <v>9702</v>
      </c>
      <c r="C3206">
        <v>8922</v>
      </c>
      <c r="D3206">
        <v>140</v>
      </c>
    </row>
    <row r="3207" spans="1:4" x14ac:dyDescent="0.35">
      <c r="A3207" t="s">
        <v>3318</v>
      </c>
      <c r="B3207">
        <v>4627</v>
      </c>
      <c r="C3207">
        <v>4688</v>
      </c>
      <c r="D3207">
        <v>750</v>
      </c>
    </row>
    <row r="3208" spans="1:4" x14ac:dyDescent="0.35">
      <c r="A3208" t="s">
        <v>3319</v>
      </c>
      <c r="B3208">
        <v>5944</v>
      </c>
      <c r="C3208">
        <v>5944</v>
      </c>
      <c r="D3208">
        <v>0</v>
      </c>
    </row>
    <row r="3209" spans="1:4" x14ac:dyDescent="0.35">
      <c r="A3209" t="s">
        <v>3320</v>
      </c>
      <c r="B3209">
        <v>4285</v>
      </c>
      <c r="C3209">
        <v>4144</v>
      </c>
      <c r="D3209">
        <v>4</v>
      </c>
    </row>
    <row r="3210" spans="1:4" x14ac:dyDescent="0.35">
      <c r="A3210" t="s">
        <v>3321</v>
      </c>
      <c r="B3210">
        <v>8973</v>
      </c>
      <c r="C3210">
        <v>10857</v>
      </c>
      <c r="D3210">
        <v>0</v>
      </c>
    </row>
    <row r="3211" spans="1:4" x14ac:dyDescent="0.35">
      <c r="A3211" t="s">
        <v>3322</v>
      </c>
      <c r="B3211">
        <v>224</v>
      </c>
      <c r="C3211">
        <v>220</v>
      </c>
      <c r="D3211">
        <v>72940</v>
      </c>
    </row>
    <row r="3212" spans="1:4" x14ac:dyDescent="0.35">
      <c r="A3212" t="s">
        <v>3323</v>
      </c>
      <c r="B3212">
        <v>1344</v>
      </c>
      <c r="C3212">
        <v>1306</v>
      </c>
      <c r="D3212">
        <v>56525</v>
      </c>
    </row>
    <row r="3213" spans="1:4" x14ac:dyDescent="0.35">
      <c r="A3213" t="s">
        <v>3324</v>
      </c>
      <c r="B3213">
        <v>222</v>
      </c>
      <c r="C3213">
        <v>222</v>
      </c>
      <c r="D3213">
        <v>949</v>
      </c>
    </row>
    <row r="3214" spans="1:4" x14ac:dyDescent="0.35">
      <c r="A3214" t="s">
        <v>3325</v>
      </c>
      <c r="B3214">
        <v>545</v>
      </c>
      <c r="C3214">
        <v>545</v>
      </c>
      <c r="D3214">
        <v>152</v>
      </c>
    </row>
    <row r="3215" spans="1:4" x14ac:dyDescent="0.35">
      <c r="A3215" t="s">
        <v>3326</v>
      </c>
      <c r="B3215">
        <v>1150</v>
      </c>
      <c r="C3215">
        <v>955</v>
      </c>
      <c r="D3215">
        <v>0</v>
      </c>
    </row>
    <row r="3216" spans="1:4" x14ac:dyDescent="0.35">
      <c r="A3216" t="s">
        <v>3327</v>
      </c>
      <c r="B3216">
        <v>7068</v>
      </c>
      <c r="C3216">
        <v>7000</v>
      </c>
      <c r="D3216">
        <v>5</v>
      </c>
    </row>
    <row r="3217" spans="1:4" x14ac:dyDescent="0.35">
      <c r="A3217" t="s">
        <v>3328</v>
      </c>
      <c r="B3217">
        <v>17232</v>
      </c>
      <c r="C3217">
        <v>18481</v>
      </c>
      <c r="D3217">
        <v>3</v>
      </c>
    </row>
    <row r="3218" spans="1:4" x14ac:dyDescent="0.35">
      <c r="A3218" t="s">
        <v>3329</v>
      </c>
      <c r="B3218">
        <v>12</v>
      </c>
      <c r="C3218">
        <v>10</v>
      </c>
      <c r="D3218">
        <v>27504</v>
      </c>
    </row>
    <row r="3219" spans="1:4" x14ac:dyDescent="0.35">
      <c r="A3219" t="s">
        <v>3330</v>
      </c>
      <c r="B3219">
        <v>2287867</v>
      </c>
      <c r="C3219">
        <v>2253850</v>
      </c>
      <c r="D3219">
        <v>2</v>
      </c>
    </row>
    <row r="3220" spans="1:4" x14ac:dyDescent="0.35">
      <c r="A3220" t="s">
        <v>3331</v>
      </c>
      <c r="B3220">
        <v>20856</v>
      </c>
      <c r="C3220">
        <v>21008</v>
      </c>
      <c r="D3220">
        <v>3181</v>
      </c>
    </row>
    <row r="3221" spans="1:4" x14ac:dyDescent="0.35">
      <c r="A3221" t="s">
        <v>3332</v>
      </c>
      <c r="B3221">
        <v>84830</v>
      </c>
      <c r="C3221">
        <v>84055</v>
      </c>
      <c r="D3221">
        <v>8</v>
      </c>
    </row>
    <row r="3222" spans="1:4" x14ac:dyDescent="0.35">
      <c r="A3222" t="s">
        <v>3333</v>
      </c>
      <c r="B3222">
        <v>29206</v>
      </c>
      <c r="C3222">
        <v>35000</v>
      </c>
      <c r="D3222">
        <v>3</v>
      </c>
    </row>
    <row r="3223" spans="1:4" x14ac:dyDescent="0.35">
      <c r="A3223" t="s">
        <v>3334</v>
      </c>
      <c r="B3223">
        <v>386164</v>
      </c>
      <c r="C3223">
        <v>375803</v>
      </c>
      <c r="D3223">
        <v>2</v>
      </c>
    </row>
    <row r="3224" spans="1:4" x14ac:dyDescent="0.35">
      <c r="A3224" t="s">
        <v>3335</v>
      </c>
      <c r="B3224">
        <v>383412</v>
      </c>
      <c r="C3224">
        <v>342322</v>
      </c>
      <c r="D3224">
        <v>0</v>
      </c>
    </row>
    <row r="3225" spans="1:4" x14ac:dyDescent="0.35">
      <c r="A3225" t="s">
        <v>3336</v>
      </c>
      <c r="B3225">
        <v>38500</v>
      </c>
      <c r="C3225">
        <v>37819</v>
      </c>
      <c r="D3225">
        <v>180</v>
      </c>
    </row>
    <row r="3226" spans="1:4" x14ac:dyDescent="0.35">
      <c r="A3226" t="s">
        <v>3337</v>
      </c>
      <c r="B3226">
        <v>11835</v>
      </c>
      <c r="C3226">
        <v>11700</v>
      </c>
      <c r="D3226">
        <v>7</v>
      </c>
    </row>
    <row r="3227" spans="1:4" x14ac:dyDescent="0.35">
      <c r="A3227" t="s">
        <v>3338</v>
      </c>
      <c r="B3227">
        <v>18949</v>
      </c>
      <c r="C3227">
        <v>20995</v>
      </c>
      <c r="D3227">
        <v>0</v>
      </c>
    </row>
    <row r="3228" spans="1:4" x14ac:dyDescent="0.35">
      <c r="A3228" t="s">
        <v>3339</v>
      </c>
      <c r="B3228">
        <v>13135</v>
      </c>
      <c r="C3228">
        <v>13000</v>
      </c>
      <c r="D3228">
        <v>0</v>
      </c>
    </row>
    <row r="3229" spans="1:4" x14ac:dyDescent="0.35">
      <c r="A3229" t="s">
        <v>3340</v>
      </c>
      <c r="B3229">
        <v>69999</v>
      </c>
      <c r="C3229">
        <v>12111</v>
      </c>
      <c r="D3229">
        <v>0</v>
      </c>
    </row>
    <row r="3230" spans="1:4" x14ac:dyDescent="0.35">
      <c r="A3230" t="s">
        <v>3341</v>
      </c>
      <c r="B3230">
        <v>76500</v>
      </c>
      <c r="C3230">
        <v>66189</v>
      </c>
      <c r="D3230">
        <v>9</v>
      </c>
    </row>
    <row r="3231" spans="1:4" x14ac:dyDescent="0.35">
      <c r="A3231" t="s">
        <v>3342</v>
      </c>
      <c r="B3231">
        <v>23561</v>
      </c>
      <c r="C3231">
        <v>20470</v>
      </c>
      <c r="D3231">
        <v>1</v>
      </c>
    </row>
    <row r="3232" spans="1:4" x14ac:dyDescent="0.35">
      <c r="A3232" t="s">
        <v>3343</v>
      </c>
      <c r="B3232">
        <v>21391</v>
      </c>
      <c r="C3232">
        <v>20310</v>
      </c>
      <c r="D3232">
        <v>2</v>
      </c>
    </row>
    <row r="3233" spans="1:4" x14ac:dyDescent="0.35">
      <c r="A3233" t="s">
        <v>3344</v>
      </c>
      <c r="B3233">
        <v>22545</v>
      </c>
      <c r="C3233">
        <v>20140</v>
      </c>
      <c r="D3233">
        <v>3</v>
      </c>
    </row>
    <row r="3234" spans="1:4" x14ac:dyDescent="0.35">
      <c r="A3234" t="s">
        <v>3345</v>
      </c>
      <c r="B3234">
        <v>26808</v>
      </c>
      <c r="C3234">
        <v>20280</v>
      </c>
      <c r="D3234">
        <v>2</v>
      </c>
    </row>
    <row r="3235" spans="1:4" x14ac:dyDescent="0.35">
      <c r="A3235" t="s">
        <v>3346</v>
      </c>
      <c r="B3235">
        <v>150</v>
      </c>
      <c r="C3235">
        <v>140</v>
      </c>
      <c r="D3235">
        <v>33885</v>
      </c>
    </row>
    <row r="3236" spans="1:4" x14ac:dyDescent="0.35">
      <c r="A3236" t="s">
        <v>3347</v>
      </c>
      <c r="B3236">
        <v>473</v>
      </c>
      <c r="C3236">
        <v>461</v>
      </c>
      <c r="D3236">
        <v>92188</v>
      </c>
    </row>
    <row r="3237" spans="1:4" x14ac:dyDescent="0.35">
      <c r="A3237" t="s">
        <v>3348</v>
      </c>
      <c r="B3237">
        <v>1</v>
      </c>
      <c r="C3237">
        <v>140</v>
      </c>
      <c r="D3237">
        <v>0</v>
      </c>
    </row>
    <row r="3238" spans="1:4" x14ac:dyDescent="0.35">
      <c r="A3238" t="s">
        <v>3349</v>
      </c>
      <c r="B3238">
        <v>607</v>
      </c>
      <c r="C3238">
        <v>10</v>
      </c>
      <c r="D3238">
        <v>0</v>
      </c>
    </row>
    <row r="3239" spans="1:4" x14ac:dyDescent="0.35">
      <c r="A3239" t="s">
        <v>3350</v>
      </c>
      <c r="B3239">
        <v>783</v>
      </c>
      <c r="C3239">
        <v>1301</v>
      </c>
      <c r="D3239">
        <v>0</v>
      </c>
    </row>
    <row r="3240" spans="1:4" x14ac:dyDescent="0.35">
      <c r="A3240" t="s">
        <v>3351</v>
      </c>
      <c r="B3240">
        <v>57848</v>
      </c>
      <c r="C3240">
        <v>56180</v>
      </c>
      <c r="D3240">
        <v>287</v>
      </c>
    </row>
    <row r="3241" spans="1:4" x14ac:dyDescent="0.35">
      <c r="A3241" t="s">
        <v>3352</v>
      </c>
      <c r="B3241">
        <v>32349</v>
      </c>
      <c r="C3241">
        <v>32400</v>
      </c>
      <c r="D3241">
        <v>3262</v>
      </c>
    </row>
    <row r="3242" spans="1:4" x14ac:dyDescent="0.35">
      <c r="A3242" t="s">
        <v>3353</v>
      </c>
      <c r="B3242">
        <v>117341</v>
      </c>
      <c r="C3242">
        <v>116168</v>
      </c>
      <c r="D3242">
        <v>9</v>
      </c>
    </row>
    <row r="3243" spans="1:4" x14ac:dyDescent="0.35">
      <c r="A3243" t="s">
        <v>3354</v>
      </c>
      <c r="B3243">
        <v>32728</v>
      </c>
      <c r="C3243">
        <v>31501</v>
      </c>
      <c r="D3243">
        <v>1</v>
      </c>
    </row>
    <row r="3244" spans="1:4" x14ac:dyDescent="0.35">
      <c r="A3244" t="s">
        <v>3355</v>
      </c>
      <c r="B3244">
        <v>210</v>
      </c>
      <c r="C3244">
        <v>205</v>
      </c>
      <c r="D3244">
        <v>17438</v>
      </c>
    </row>
    <row r="3245" spans="1:4" x14ac:dyDescent="0.35">
      <c r="A3245" t="s">
        <v>3356</v>
      </c>
      <c r="B3245">
        <v>366</v>
      </c>
      <c r="C3245">
        <v>173</v>
      </c>
      <c r="D3245">
        <v>0</v>
      </c>
    </row>
    <row r="3246" spans="1:4" x14ac:dyDescent="0.35">
      <c r="A3246" t="s">
        <v>3357</v>
      </c>
      <c r="B3246">
        <v>351</v>
      </c>
      <c r="C3246">
        <v>201</v>
      </c>
      <c r="D3246">
        <v>0</v>
      </c>
    </row>
    <row r="3247" spans="1:4" x14ac:dyDescent="0.35">
      <c r="A3247" t="s">
        <v>3358</v>
      </c>
      <c r="B3247">
        <v>215</v>
      </c>
      <c r="C3247">
        <v>215</v>
      </c>
      <c r="D3247">
        <v>2257</v>
      </c>
    </row>
    <row r="3248" spans="1:4" x14ac:dyDescent="0.35">
      <c r="A3248" t="s">
        <v>3359</v>
      </c>
      <c r="B3248">
        <v>19200</v>
      </c>
      <c r="C3248">
        <v>19088</v>
      </c>
      <c r="D3248">
        <v>2943</v>
      </c>
    </row>
    <row r="3249" spans="1:4" x14ac:dyDescent="0.35">
      <c r="A3249" t="s">
        <v>3360</v>
      </c>
      <c r="B3249">
        <v>8843</v>
      </c>
      <c r="C3249">
        <v>8843</v>
      </c>
      <c r="D3249">
        <v>1472</v>
      </c>
    </row>
    <row r="3250" spans="1:4" x14ac:dyDescent="0.35">
      <c r="A3250" t="s">
        <v>3361</v>
      </c>
      <c r="B3250">
        <v>11408</v>
      </c>
      <c r="C3250">
        <v>11408</v>
      </c>
      <c r="D3250">
        <v>1117</v>
      </c>
    </row>
    <row r="3251" spans="1:4" x14ac:dyDescent="0.35">
      <c r="A3251" t="s">
        <v>3362</v>
      </c>
      <c r="B3251">
        <v>850</v>
      </c>
      <c r="C3251">
        <v>850</v>
      </c>
      <c r="D3251">
        <v>14271</v>
      </c>
    </row>
    <row r="3252" spans="1:4" x14ac:dyDescent="0.35">
      <c r="A3252" t="s">
        <v>3363</v>
      </c>
      <c r="B3252">
        <v>19385</v>
      </c>
      <c r="C3252">
        <v>19088</v>
      </c>
      <c r="D3252">
        <v>2383</v>
      </c>
    </row>
    <row r="3253" spans="1:4" x14ac:dyDescent="0.35">
      <c r="A3253" t="s">
        <v>3364</v>
      </c>
      <c r="B3253">
        <v>39037</v>
      </c>
      <c r="C3253">
        <v>38730</v>
      </c>
      <c r="D3253">
        <v>3515</v>
      </c>
    </row>
    <row r="3254" spans="1:4" x14ac:dyDescent="0.35">
      <c r="A3254" t="s">
        <v>3365</v>
      </c>
      <c r="B3254">
        <v>90000</v>
      </c>
      <c r="C3254">
        <v>87446</v>
      </c>
      <c r="D3254">
        <v>5</v>
      </c>
    </row>
    <row r="3255" spans="1:4" x14ac:dyDescent="0.35">
      <c r="A3255" t="s">
        <v>3366</v>
      </c>
      <c r="B3255">
        <v>39057</v>
      </c>
      <c r="C3255">
        <v>208100</v>
      </c>
      <c r="D3255">
        <v>1</v>
      </c>
    </row>
    <row r="3256" spans="1:4" x14ac:dyDescent="0.35">
      <c r="A3256" t="s">
        <v>3367</v>
      </c>
      <c r="B3256">
        <v>39062</v>
      </c>
      <c r="C3256">
        <v>38031</v>
      </c>
      <c r="D3256">
        <v>0</v>
      </c>
    </row>
    <row r="3257" spans="1:4" x14ac:dyDescent="0.35">
      <c r="A3257" t="s">
        <v>3368</v>
      </c>
      <c r="B3257">
        <v>38889</v>
      </c>
      <c r="C3257">
        <v>38889</v>
      </c>
      <c r="D3257">
        <v>0</v>
      </c>
    </row>
    <row r="3258" spans="1:4" x14ac:dyDescent="0.35">
      <c r="A3258" t="s">
        <v>3369</v>
      </c>
      <c r="B3258">
        <v>55000</v>
      </c>
      <c r="C3258">
        <v>38000</v>
      </c>
      <c r="D3258">
        <v>0</v>
      </c>
    </row>
    <row r="3259" spans="1:4" x14ac:dyDescent="0.35">
      <c r="A3259" t="s">
        <v>3370</v>
      </c>
      <c r="B3259">
        <v>39343</v>
      </c>
      <c r="C3259">
        <v>41310</v>
      </c>
      <c r="D3259">
        <v>0</v>
      </c>
    </row>
    <row r="3260" spans="1:4" x14ac:dyDescent="0.35">
      <c r="A3260" t="s">
        <v>3371</v>
      </c>
      <c r="B3260">
        <v>45000</v>
      </c>
      <c r="C3260">
        <v>38258</v>
      </c>
      <c r="D3260">
        <v>1</v>
      </c>
    </row>
    <row r="3261" spans="1:4" x14ac:dyDescent="0.35">
      <c r="A3261" t="s">
        <v>3372</v>
      </c>
      <c r="B3261">
        <v>38998</v>
      </c>
      <c r="C3261">
        <v>38288</v>
      </c>
      <c r="D3261">
        <v>3626</v>
      </c>
    </row>
    <row r="3262" spans="1:4" x14ac:dyDescent="0.35">
      <c r="A3262" t="s">
        <v>3373</v>
      </c>
      <c r="B3262">
        <v>42978</v>
      </c>
      <c r="C3262">
        <v>42555</v>
      </c>
      <c r="D3262">
        <v>9</v>
      </c>
    </row>
    <row r="3263" spans="1:4" x14ac:dyDescent="0.35">
      <c r="A3263" t="s">
        <v>3374</v>
      </c>
      <c r="B3263">
        <v>47400</v>
      </c>
      <c r="C3263">
        <v>36869</v>
      </c>
      <c r="D3263">
        <v>2</v>
      </c>
    </row>
    <row r="3264" spans="1:4" x14ac:dyDescent="0.35">
      <c r="A3264" t="s">
        <v>3375</v>
      </c>
      <c r="B3264">
        <v>39555</v>
      </c>
      <c r="C3264">
        <v>38288</v>
      </c>
      <c r="D3264">
        <v>538</v>
      </c>
    </row>
    <row r="3265" spans="1:4" x14ac:dyDescent="0.35">
      <c r="A3265" t="s">
        <v>3376</v>
      </c>
      <c r="B3265">
        <v>40023</v>
      </c>
      <c r="C3265">
        <v>37617</v>
      </c>
      <c r="D3265">
        <v>2</v>
      </c>
    </row>
    <row r="3266" spans="1:4" x14ac:dyDescent="0.35">
      <c r="A3266" t="s">
        <v>3377</v>
      </c>
      <c r="B3266">
        <v>47000</v>
      </c>
      <c r="C3266">
        <v>37847</v>
      </c>
      <c r="D3266">
        <v>2</v>
      </c>
    </row>
    <row r="3267" spans="1:4" x14ac:dyDescent="0.35">
      <c r="A3267" t="s">
        <v>3378</v>
      </c>
      <c r="B3267">
        <v>6419998</v>
      </c>
      <c r="C3267">
        <v>6183625</v>
      </c>
      <c r="D3267">
        <v>19</v>
      </c>
    </row>
    <row r="3268" spans="1:4" x14ac:dyDescent="0.35">
      <c r="A3268" t="s">
        <v>3379</v>
      </c>
      <c r="B3268">
        <v>15137</v>
      </c>
      <c r="C3268">
        <v>15000</v>
      </c>
      <c r="D3268">
        <v>1597</v>
      </c>
    </row>
    <row r="3269" spans="1:4" x14ac:dyDescent="0.35">
      <c r="A3269" t="s">
        <v>3380</v>
      </c>
      <c r="B3269">
        <v>5368</v>
      </c>
      <c r="C3269">
        <v>4609</v>
      </c>
      <c r="D3269">
        <v>1</v>
      </c>
    </row>
    <row r="3270" spans="1:4" x14ac:dyDescent="0.35">
      <c r="A3270" t="s">
        <v>3381</v>
      </c>
      <c r="B3270">
        <v>10000</v>
      </c>
      <c r="C3270">
        <v>4402</v>
      </c>
      <c r="D3270">
        <v>0</v>
      </c>
    </row>
    <row r="3271" spans="1:4" x14ac:dyDescent="0.35">
      <c r="A3271" t="s">
        <v>3382</v>
      </c>
      <c r="B3271">
        <v>8060</v>
      </c>
      <c r="C3271">
        <v>9250</v>
      </c>
      <c r="D3271">
        <v>1</v>
      </c>
    </row>
    <row r="3272" spans="1:4" x14ac:dyDescent="0.35">
      <c r="A3272" t="s">
        <v>3383</v>
      </c>
      <c r="B3272">
        <v>78200</v>
      </c>
      <c r="C3272">
        <v>71347</v>
      </c>
      <c r="D3272">
        <v>4</v>
      </c>
    </row>
    <row r="3273" spans="1:4" x14ac:dyDescent="0.35">
      <c r="A3273" t="s">
        <v>3384</v>
      </c>
      <c r="B3273">
        <v>35067</v>
      </c>
      <c r="C3273">
        <v>33550</v>
      </c>
      <c r="D3273">
        <v>3</v>
      </c>
    </row>
    <row r="3274" spans="1:4" x14ac:dyDescent="0.35">
      <c r="A3274" t="s">
        <v>3385</v>
      </c>
      <c r="B3274">
        <v>40000</v>
      </c>
      <c r="C3274">
        <v>31001</v>
      </c>
      <c r="D3274">
        <v>1</v>
      </c>
    </row>
    <row r="3275" spans="1:4" x14ac:dyDescent="0.35">
      <c r="A3275" t="s">
        <v>3386</v>
      </c>
      <c r="B3275">
        <v>32669</v>
      </c>
      <c r="C3275">
        <v>32009</v>
      </c>
      <c r="D3275">
        <v>0</v>
      </c>
    </row>
    <row r="3276" spans="1:4" x14ac:dyDescent="0.35">
      <c r="A3276" t="s">
        <v>3387</v>
      </c>
      <c r="B3276">
        <v>32404</v>
      </c>
      <c r="C3276">
        <v>31636</v>
      </c>
      <c r="D3276">
        <v>6</v>
      </c>
    </row>
    <row r="3277" spans="1:4" x14ac:dyDescent="0.35">
      <c r="A3277" t="s">
        <v>3388</v>
      </c>
      <c r="B3277">
        <v>11900</v>
      </c>
      <c r="C3277">
        <v>11877</v>
      </c>
      <c r="D3277">
        <v>125</v>
      </c>
    </row>
    <row r="3278" spans="1:4" x14ac:dyDescent="0.35">
      <c r="A3278" t="s">
        <v>3389</v>
      </c>
      <c r="B3278">
        <v>17141</v>
      </c>
      <c r="C3278">
        <v>18043</v>
      </c>
      <c r="D3278">
        <v>0</v>
      </c>
    </row>
    <row r="3279" spans="1:4" x14ac:dyDescent="0.35">
      <c r="A3279" t="s">
        <v>3390</v>
      </c>
      <c r="B3279">
        <v>17743</v>
      </c>
      <c r="C3279">
        <v>13200</v>
      </c>
      <c r="D3279">
        <v>0</v>
      </c>
    </row>
    <row r="3280" spans="1:4" x14ac:dyDescent="0.35">
      <c r="A3280" t="s">
        <v>3391</v>
      </c>
      <c r="B3280">
        <v>16637</v>
      </c>
      <c r="C3280">
        <v>15000</v>
      </c>
      <c r="D3280">
        <v>0</v>
      </c>
    </row>
    <row r="3281" spans="1:4" x14ac:dyDescent="0.35">
      <c r="A3281" t="s">
        <v>3392</v>
      </c>
      <c r="B3281">
        <v>22759</v>
      </c>
      <c r="C3281">
        <v>22500</v>
      </c>
      <c r="D3281">
        <v>985</v>
      </c>
    </row>
    <row r="3282" spans="1:4" x14ac:dyDescent="0.35">
      <c r="A3282" t="s">
        <v>3393</v>
      </c>
      <c r="B3282">
        <v>12253</v>
      </c>
      <c r="C3282">
        <v>12368</v>
      </c>
      <c r="D3282">
        <v>401</v>
      </c>
    </row>
    <row r="3283" spans="1:4" x14ac:dyDescent="0.35">
      <c r="A3283" t="s">
        <v>3394</v>
      </c>
      <c r="B3283">
        <v>197</v>
      </c>
      <c r="C3283">
        <v>171</v>
      </c>
      <c r="D3283">
        <v>6420</v>
      </c>
    </row>
    <row r="3284" spans="1:4" x14ac:dyDescent="0.35">
      <c r="A3284" t="s">
        <v>3395</v>
      </c>
      <c r="B3284">
        <v>156849</v>
      </c>
      <c r="C3284">
        <v>156849</v>
      </c>
      <c r="D3284">
        <v>0</v>
      </c>
    </row>
    <row r="3285" spans="1:4" x14ac:dyDescent="0.35">
      <c r="A3285" t="s">
        <v>3396</v>
      </c>
      <c r="B3285">
        <v>210645</v>
      </c>
      <c r="C3285">
        <v>157000</v>
      </c>
      <c r="D3285">
        <v>8</v>
      </c>
    </row>
    <row r="3286" spans="1:4" x14ac:dyDescent="0.35">
      <c r="A3286" t="s">
        <v>3397</v>
      </c>
      <c r="B3286">
        <v>25000</v>
      </c>
      <c r="C3286">
        <v>24800</v>
      </c>
      <c r="D3286">
        <v>2818</v>
      </c>
    </row>
    <row r="3287" spans="1:4" x14ac:dyDescent="0.35">
      <c r="A3287" t="s">
        <v>3398</v>
      </c>
      <c r="B3287">
        <v>255</v>
      </c>
      <c r="C3287">
        <v>255</v>
      </c>
      <c r="D3287">
        <v>3</v>
      </c>
    </row>
    <row r="3288" spans="1:4" x14ac:dyDescent="0.35">
      <c r="A3288" t="s">
        <v>3399</v>
      </c>
      <c r="B3288">
        <v>5000</v>
      </c>
      <c r="C3288">
        <v>363</v>
      </c>
      <c r="D3288">
        <v>4</v>
      </c>
    </row>
    <row r="3289" spans="1:4" x14ac:dyDescent="0.35">
      <c r="A3289" t="s">
        <v>3400</v>
      </c>
      <c r="B3289">
        <v>12399</v>
      </c>
      <c r="C3289">
        <v>12370</v>
      </c>
      <c r="D3289">
        <v>64343</v>
      </c>
    </row>
    <row r="3290" spans="1:4" x14ac:dyDescent="0.35">
      <c r="A3290" t="s">
        <v>3401</v>
      </c>
      <c r="B3290">
        <v>144</v>
      </c>
      <c r="C3290">
        <v>140</v>
      </c>
      <c r="D3290">
        <v>77605</v>
      </c>
    </row>
    <row r="3291" spans="1:4" x14ac:dyDescent="0.35">
      <c r="A3291" t="s">
        <v>3402</v>
      </c>
      <c r="B3291">
        <v>370</v>
      </c>
      <c r="C3291">
        <v>430</v>
      </c>
      <c r="D3291">
        <v>0</v>
      </c>
    </row>
    <row r="3292" spans="1:4" x14ac:dyDescent="0.35">
      <c r="A3292" t="s">
        <v>3403</v>
      </c>
      <c r="B3292">
        <v>460</v>
      </c>
      <c r="C3292">
        <v>397</v>
      </c>
      <c r="D3292">
        <v>1977</v>
      </c>
    </row>
    <row r="3293" spans="1:4" x14ac:dyDescent="0.35">
      <c r="A3293" t="s">
        <v>3404</v>
      </c>
      <c r="B3293">
        <v>1367</v>
      </c>
      <c r="C3293">
        <v>1111</v>
      </c>
      <c r="D3293">
        <v>1001</v>
      </c>
    </row>
    <row r="3294" spans="1:4" x14ac:dyDescent="0.35">
      <c r="A3294" t="s">
        <v>3405</v>
      </c>
      <c r="B3294">
        <v>189</v>
      </c>
      <c r="C3294">
        <v>183</v>
      </c>
      <c r="D3294">
        <v>77605</v>
      </c>
    </row>
    <row r="3295" spans="1:4" x14ac:dyDescent="0.35">
      <c r="A3295" t="s">
        <v>3406</v>
      </c>
      <c r="B3295">
        <v>9316</v>
      </c>
      <c r="C3295">
        <v>9155</v>
      </c>
      <c r="D3295">
        <v>38</v>
      </c>
    </row>
    <row r="3296" spans="1:4" x14ac:dyDescent="0.35">
      <c r="A3296" t="s">
        <v>3407</v>
      </c>
      <c r="B3296">
        <v>8821</v>
      </c>
      <c r="C3296">
        <v>9285</v>
      </c>
      <c r="D3296">
        <v>408</v>
      </c>
    </row>
    <row r="3297" spans="1:4" x14ac:dyDescent="0.35">
      <c r="A3297" t="s">
        <v>3408</v>
      </c>
      <c r="B3297">
        <v>10200</v>
      </c>
      <c r="C3297">
        <v>10300</v>
      </c>
      <c r="D3297">
        <v>35171</v>
      </c>
    </row>
    <row r="3298" spans="1:4" x14ac:dyDescent="0.35">
      <c r="A3298" t="s">
        <v>3409</v>
      </c>
      <c r="B3298">
        <v>1109</v>
      </c>
      <c r="C3298">
        <v>744</v>
      </c>
      <c r="D3298">
        <v>3</v>
      </c>
    </row>
    <row r="3299" spans="1:4" x14ac:dyDescent="0.35">
      <c r="A3299" t="s">
        <v>3410</v>
      </c>
      <c r="B3299">
        <v>1443</v>
      </c>
      <c r="C3299">
        <v>1487</v>
      </c>
      <c r="D3299">
        <v>0</v>
      </c>
    </row>
    <row r="3300" spans="1:4" x14ac:dyDescent="0.35">
      <c r="A3300" t="s">
        <v>3411</v>
      </c>
      <c r="B3300">
        <v>2350</v>
      </c>
      <c r="C3300">
        <v>1544</v>
      </c>
      <c r="D3300">
        <v>0</v>
      </c>
    </row>
    <row r="3301" spans="1:4" x14ac:dyDescent="0.35">
      <c r="A3301" t="s">
        <v>3412</v>
      </c>
      <c r="B3301">
        <v>3095</v>
      </c>
      <c r="C3301">
        <v>3000</v>
      </c>
      <c r="D3301">
        <v>437</v>
      </c>
    </row>
    <row r="3302" spans="1:4" x14ac:dyDescent="0.35">
      <c r="A3302" t="s">
        <v>3413</v>
      </c>
      <c r="B3302">
        <v>671569</v>
      </c>
      <c r="C3302">
        <v>665000</v>
      </c>
      <c r="D3302">
        <v>1</v>
      </c>
    </row>
    <row r="3303" spans="1:4" x14ac:dyDescent="0.35">
      <c r="A3303" t="s">
        <v>3414</v>
      </c>
      <c r="B3303">
        <v>320</v>
      </c>
      <c r="C3303">
        <v>300</v>
      </c>
      <c r="D3303">
        <v>0</v>
      </c>
    </row>
    <row r="3304" spans="1:4" x14ac:dyDescent="0.35">
      <c r="A3304" t="s">
        <v>3415</v>
      </c>
      <c r="B3304">
        <v>62</v>
      </c>
      <c r="C3304">
        <v>62</v>
      </c>
      <c r="D3304">
        <v>12067</v>
      </c>
    </row>
    <row r="3305" spans="1:4" x14ac:dyDescent="0.35">
      <c r="A3305" t="s">
        <v>3416</v>
      </c>
      <c r="B3305">
        <v>9</v>
      </c>
      <c r="C3305">
        <v>9</v>
      </c>
      <c r="D3305">
        <v>17582</v>
      </c>
    </row>
    <row r="3306" spans="1:4" x14ac:dyDescent="0.35">
      <c r="A3306" t="s">
        <v>3417</v>
      </c>
      <c r="B3306">
        <v>2418</v>
      </c>
      <c r="C3306">
        <v>2418</v>
      </c>
      <c r="D3306">
        <v>1438</v>
      </c>
    </row>
    <row r="3307" spans="1:4" x14ac:dyDescent="0.35">
      <c r="A3307" t="s">
        <v>3418</v>
      </c>
      <c r="B3307">
        <v>461578</v>
      </c>
      <c r="C3307">
        <v>420001</v>
      </c>
      <c r="D3307">
        <v>4</v>
      </c>
    </row>
    <row r="3308" spans="1:4" x14ac:dyDescent="0.35">
      <c r="A3308" t="s">
        <v>3419</v>
      </c>
      <c r="B3308">
        <v>3647</v>
      </c>
      <c r="C3308">
        <v>2500</v>
      </c>
      <c r="D3308">
        <v>1</v>
      </c>
    </row>
    <row r="3309" spans="1:4" x14ac:dyDescent="0.35">
      <c r="A3309" t="s">
        <v>3420</v>
      </c>
      <c r="B3309">
        <v>26075</v>
      </c>
      <c r="C3309">
        <v>22500</v>
      </c>
      <c r="D3309">
        <v>1</v>
      </c>
    </row>
    <row r="3310" spans="1:4" x14ac:dyDescent="0.35">
      <c r="A3310" t="s">
        <v>3421</v>
      </c>
      <c r="B3310">
        <v>17692</v>
      </c>
      <c r="C3310">
        <v>17000</v>
      </c>
      <c r="D3310">
        <v>3</v>
      </c>
    </row>
    <row r="3311" spans="1:4" x14ac:dyDescent="0.35">
      <c r="A3311" t="s">
        <v>3422</v>
      </c>
      <c r="B3311">
        <v>53989</v>
      </c>
      <c r="C3311">
        <v>38466</v>
      </c>
      <c r="D3311">
        <v>3</v>
      </c>
    </row>
    <row r="3312" spans="1:4" x14ac:dyDescent="0.35">
      <c r="A3312" t="s">
        <v>3423</v>
      </c>
      <c r="B3312">
        <v>18574</v>
      </c>
      <c r="C3312">
        <v>24829</v>
      </c>
      <c r="D3312">
        <v>1</v>
      </c>
    </row>
    <row r="3313" spans="1:4" x14ac:dyDescent="0.35">
      <c r="A3313" t="s">
        <v>3424</v>
      </c>
      <c r="B3313">
        <v>3000</v>
      </c>
      <c r="C3313">
        <v>1620</v>
      </c>
      <c r="D3313">
        <v>5</v>
      </c>
    </row>
    <row r="3314" spans="1:4" x14ac:dyDescent="0.35">
      <c r="A3314" t="s">
        <v>3425</v>
      </c>
      <c r="B3314">
        <v>9</v>
      </c>
      <c r="C3314">
        <v>4</v>
      </c>
      <c r="D3314">
        <v>0</v>
      </c>
    </row>
    <row r="3315" spans="1:4" x14ac:dyDescent="0.35">
      <c r="A3315" t="s">
        <v>3426</v>
      </c>
      <c r="B3315">
        <v>93</v>
      </c>
      <c r="C3315">
        <v>88</v>
      </c>
      <c r="D3315">
        <v>0</v>
      </c>
    </row>
    <row r="3316" spans="1:4" x14ac:dyDescent="0.35">
      <c r="A3316" t="s">
        <v>3427</v>
      </c>
      <c r="B3316">
        <v>1000</v>
      </c>
      <c r="C3316">
        <v>4</v>
      </c>
      <c r="D3316">
        <v>1</v>
      </c>
    </row>
    <row r="3317" spans="1:4" x14ac:dyDescent="0.35">
      <c r="A3317" t="s">
        <v>3428</v>
      </c>
      <c r="B3317">
        <v>2870</v>
      </c>
      <c r="C3317">
        <v>3226</v>
      </c>
      <c r="D3317">
        <v>3</v>
      </c>
    </row>
    <row r="3318" spans="1:4" x14ac:dyDescent="0.35">
      <c r="A3318" t="s">
        <v>3429</v>
      </c>
      <c r="B3318">
        <v>6611</v>
      </c>
      <c r="C3318">
        <v>7961</v>
      </c>
      <c r="D3318">
        <v>3</v>
      </c>
    </row>
    <row r="3319" spans="1:4" x14ac:dyDescent="0.35">
      <c r="A3319" t="s">
        <v>3430</v>
      </c>
      <c r="B3319">
        <v>6747</v>
      </c>
      <c r="C3319">
        <v>7956</v>
      </c>
      <c r="D3319">
        <v>2</v>
      </c>
    </row>
    <row r="3320" spans="1:4" x14ac:dyDescent="0.35">
      <c r="A3320" t="s">
        <v>3431</v>
      </c>
      <c r="B3320">
        <v>105</v>
      </c>
      <c r="C3320">
        <v>104</v>
      </c>
      <c r="D3320">
        <v>28038</v>
      </c>
    </row>
    <row r="3321" spans="1:4" x14ac:dyDescent="0.35">
      <c r="A3321" t="s">
        <v>3432</v>
      </c>
      <c r="B3321">
        <v>5498</v>
      </c>
      <c r="C3321">
        <v>4200</v>
      </c>
      <c r="D3321">
        <v>4</v>
      </c>
    </row>
    <row r="3322" spans="1:4" x14ac:dyDescent="0.35">
      <c r="A3322" t="s">
        <v>3433</v>
      </c>
      <c r="B3322">
        <v>8978</v>
      </c>
      <c r="C3322">
        <v>8545</v>
      </c>
      <c r="D3322">
        <v>2</v>
      </c>
    </row>
    <row r="3323" spans="1:4" x14ac:dyDescent="0.35">
      <c r="A3323" t="s">
        <v>3434</v>
      </c>
      <c r="B3323">
        <v>13289</v>
      </c>
      <c r="C3323">
        <v>13292</v>
      </c>
      <c r="D3323">
        <v>2</v>
      </c>
    </row>
    <row r="3324" spans="1:4" x14ac:dyDescent="0.35">
      <c r="A3324" t="s">
        <v>3435</v>
      </c>
      <c r="B3324">
        <v>19450</v>
      </c>
      <c r="C3324">
        <v>19800</v>
      </c>
      <c r="D3324">
        <v>5710</v>
      </c>
    </row>
    <row r="3325" spans="1:4" x14ac:dyDescent="0.35">
      <c r="A3325" t="s">
        <v>3436</v>
      </c>
      <c r="B3325">
        <v>19799996</v>
      </c>
      <c r="C3325">
        <v>19208844</v>
      </c>
      <c r="D3325">
        <v>29</v>
      </c>
    </row>
    <row r="3326" spans="1:4" x14ac:dyDescent="0.35">
      <c r="A3326" t="s">
        <v>3437</v>
      </c>
      <c r="B3326">
        <v>19482</v>
      </c>
      <c r="C3326">
        <v>19370</v>
      </c>
      <c r="D3326">
        <v>31</v>
      </c>
    </row>
    <row r="3327" spans="1:4" x14ac:dyDescent="0.35">
      <c r="A3327" t="s">
        <v>3438</v>
      </c>
      <c r="B3327">
        <v>310</v>
      </c>
      <c r="C3327">
        <v>303</v>
      </c>
      <c r="D3327">
        <v>29051</v>
      </c>
    </row>
    <row r="3328" spans="1:4" x14ac:dyDescent="0.35">
      <c r="A3328" t="s">
        <v>3439</v>
      </c>
      <c r="B3328">
        <v>490</v>
      </c>
      <c r="C3328">
        <v>468</v>
      </c>
      <c r="D3328">
        <v>37</v>
      </c>
    </row>
    <row r="3329" spans="1:4" x14ac:dyDescent="0.35">
      <c r="A3329" t="s">
        <v>3440</v>
      </c>
      <c r="B3329">
        <v>447</v>
      </c>
      <c r="C3329">
        <v>394</v>
      </c>
      <c r="D3329">
        <v>3020</v>
      </c>
    </row>
    <row r="3330" spans="1:4" x14ac:dyDescent="0.35">
      <c r="A3330" t="s">
        <v>3441</v>
      </c>
      <c r="B3330">
        <v>9</v>
      </c>
      <c r="C3330">
        <v>9</v>
      </c>
      <c r="D3330">
        <v>731</v>
      </c>
    </row>
    <row r="3331" spans="1:4" x14ac:dyDescent="0.35">
      <c r="A3331" t="s">
        <v>3442</v>
      </c>
      <c r="B3331">
        <v>49</v>
      </c>
      <c r="C3331">
        <v>45</v>
      </c>
      <c r="D3331">
        <v>7120</v>
      </c>
    </row>
    <row r="3332" spans="1:4" x14ac:dyDescent="0.35">
      <c r="A3332" t="s">
        <v>3443</v>
      </c>
      <c r="B3332">
        <v>25</v>
      </c>
      <c r="C3332">
        <v>25</v>
      </c>
      <c r="D3332">
        <v>11456</v>
      </c>
    </row>
    <row r="3333" spans="1:4" x14ac:dyDescent="0.35">
      <c r="A3333" t="s">
        <v>3444</v>
      </c>
      <c r="B3333">
        <v>492</v>
      </c>
      <c r="C3333">
        <v>492</v>
      </c>
      <c r="D3333">
        <v>387</v>
      </c>
    </row>
    <row r="3334" spans="1:4" x14ac:dyDescent="0.35">
      <c r="A3334" t="s">
        <v>3445</v>
      </c>
      <c r="B3334">
        <v>2720</v>
      </c>
      <c r="C3334">
        <v>2523</v>
      </c>
      <c r="D3334">
        <v>10</v>
      </c>
    </row>
    <row r="3335" spans="1:4" x14ac:dyDescent="0.35">
      <c r="A3335" t="s">
        <v>3446</v>
      </c>
      <c r="B3335">
        <v>3030</v>
      </c>
      <c r="C3335">
        <v>2975</v>
      </c>
      <c r="D3335">
        <v>4402</v>
      </c>
    </row>
    <row r="3336" spans="1:4" x14ac:dyDescent="0.35">
      <c r="A3336" t="s">
        <v>3447</v>
      </c>
      <c r="B3336">
        <v>40</v>
      </c>
      <c r="C3336">
        <v>25</v>
      </c>
      <c r="D3336">
        <v>0</v>
      </c>
    </row>
    <row r="3337" spans="1:4" x14ac:dyDescent="0.35">
      <c r="A3337" t="s">
        <v>3448</v>
      </c>
      <c r="B3337">
        <v>1</v>
      </c>
      <c r="C3337">
        <v>4</v>
      </c>
      <c r="D3337">
        <v>0</v>
      </c>
    </row>
    <row r="3338" spans="1:4" x14ac:dyDescent="0.35">
      <c r="A3338" t="s">
        <v>3449</v>
      </c>
      <c r="B3338">
        <v>1</v>
      </c>
      <c r="C3338">
        <v>1000</v>
      </c>
      <c r="D3338">
        <v>0</v>
      </c>
    </row>
    <row r="3339" spans="1:4" x14ac:dyDescent="0.35">
      <c r="A3339" t="s">
        <v>3450</v>
      </c>
      <c r="B3339">
        <v>518</v>
      </c>
      <c r="C3339">
        <v>498</v>
      </c>
      <c r="D3339">
        <v>41861</v>
      </c>
    </row>
    <row r="3340" spans="1:4" x14ac:dyDescent="0.35">
      <c r="A3340" t="s">
        <v>3451</v>
      </c>
      <c r="B3340">
        <v>504</v>
      </c>
      <c r="C3340">
        <v>485</v>
      </c>
      <c r="D3340">
        <v>12820</v>
      </c>
    </row>
    <row r="3341" spans="1:4" x14ac:dyDescent="0.35">
      <c r="A3341" t="s">
        <v>3452</v>
      </c>
      <c r="B3341">
        <v>284933</v>
      </c>
      <c r="C3341">
        <v>282000</v>
      </c>
      <c r="D3341">
        <v>11</v>
      </c>
    </row>
    <row r="3342" spans="1:4" x14ac:dyDescent="0.35">
      <c r="A3342" t="s">
        <v>3453</v>
      </c>
      <c r="B3342">
        <v>319995</v>
      </c>
      <c r="C3342">
        <v>306458</v>
      </c>
      <c r="D3342">
        <v>0</v>
      </c>
    </row>
    <row r="3343" spans="1:4" x14ac:dyDescent="0.35">
      <c r="A3343" t="s">
        <v>3454</v>
      </c>
      <c r="B3343">
        <v>293801</v>
      </c>
      <c r="C3343">
        <v>265005</v>
      </c>
      <c r="D3343">
        <v>1</v>
      </c>
    </row>
    <row r="3344" spans="1:4" x14ac:dyDescent="0.35">
      <c r="A3344" t="s">
        <v>3455</v>
      </c>
      <c r="B3344">
        <v>47970</v>
      </c>
      <c r="C3344">
        <v>43326</v>
      </c>
      <c r="D3344">
        <v>3</v>
      </c>
    </row>
    <row r="3345" spans="1:4" x14ac:dyDescent="0.35">
      <c r="A3345" t="s">
        <v>3456</v>
      </c>
      <c r="B3345">
        <v>2153</v>
      </c>
      <c r="C3345">
        <v>2008</v>
      </c>
      <c r="D3345">
        <v>7</v>
      </c>
    </row>
    <row r="3346" spans="1:4" x14ac:dyDescent="0.35">
      <c r="A3346" t="s">
        <v>3457</v>
      </c>
      <c r="B3346">
        <v>4200</v>
      </c>
      <c r="C3346">
        <v>4006</v>
      </c>
      <c r="D3346">
        <v>10</v>
      </c>
    </row>
    <row r="3347" spans="1:4" x14ac:dyDescent="0.35">
      <c r="A3347" t="s">
        <v>3458</v>
      </c>
      <c r="B3347">
        <v>5952</v>
      </c>
      <c r="C3347">
        <v>5937</v>
      </c>
      <c r="D3347">
        <v>31537</v>
      </c>
    </row>
    <row r="3348" spans="1:4" x14ac:dyDescent="0.35">
      <c r="A3348" t="s">
        <v>3459</v>
      </c>
      <c r="B3348">
        <v>8367</v>
      </c>
      <c r="C3348">
        <v>8287</v>
      </c>
      <c r="D3348">
        <v>31498</v>
      </c>
    </row>
    <row r="3349" spans="1:4" x14ac:dyDescent="0.35">
      <c r="A3349" t="s">
        <v>3460</v>
      </c>
      <c r="B3349">
        <v>186514</v>
      </c>
      <c r="C3349">
        <v>179876</v>
      </c>
      <c r="D3349">
        <v>8</v>
      </c>
    </row>
    <row r="3350" spans="1:4" x14ac:dyDescent="0.35">
      <c r="A3350" t="s">
        <v>3461</v>
      </c>
      <c r="B3350">
        <v>19000</v>
      </c>
      <c r="C3350">
        <v>16000</v>
      </c>
      <c r="D3350">
        <v>22</v>
      </c>
    </row>
    <row r="3351" spans="1:4" x14ac:dyDescent="0.35">
      <c r="A3351" t="s">
        <v>3462</v>
      </c>
      <c r="B3351">
        <v>61182</v>
      </c>
      <c r="C3351">
        <v>62000</v>
      </c>
      <c r="D3351">
        <v>6</v>
      </c>
    </row>
    <row r="3352" spans="1:4" x14ac:dyDescent="0.35">
      <c r="A3352" t="s">
        <v>3463</v>
      </c>
      <c r="B3352">
        <v>4747</v>
      </c>
      <c r="C3352">
        <v>4308</v>
      </c>
      <c r="D3352">
        <v>0</v>
      </c>
    </row>
    <row r="3353" spans="1:4" x14ac:dyDescent="0.35">
      <c r="A3353" t="s">
        <v>3464</v>
      </c>
      <c r="B3353">
        <v>99311</v>
      </c>
      <c r="C3353">
        <v>97999</v>
      </c>
      <c r="D3353">
        <v>14</v>
      </c>
    </row>
    <row r="3354" spans="1:4" x14ac:dyDescent="0.35">
      <c r="A3354" t="s">
        <v>3465</v>
      </c>
      <c r="B3354">
        <v>285005</v>
      </c>
      <c r="C3354">
        <v>285005</v>
      </c>
      <c r="D3354">
        <v>14</v>
      </c>
    </row>
    <row r="3355" spans="1:4" x14ac:dyDescent="0.35">
      <c r="A3355" t="s">
        <v>3466</v>
      </c>
      <c r="B3355">
        <v>353995</v>
      </c>
      <c r="C3355">
        <v>340001</v>
      </c>
      <c r="D3355">
        <v>0</v>
      </c>
    </row>
    <row r="3356" spans="1:4" x14ac:dyDescent="0.35">
      <c r="A3356" t="s">
        <v>3467</v>
      </c>
      <c r="B3356">
        <v>513575</v>
      </c>
      <c r="C3356">
        <v>446722</v>
      </c>
      <c r="D3356">
        <v>2</v>
      </c>
    </row>
    <row r="3357" spans="1:4" x14ac:dyDescent="0.35">
      <c r="A3357" t="s">
        <v>3468</v>
      </c>
      <c r="B3357">
        <v>83729</v>
      </c>
      <c r="C3357">
        <v>85055</v>
      </c>
      <c r="D3357">
        <v>8</v>
      </c>
    </row>
    <row r="3358" spans="1:4" x14ac:dyDescent="0.35">
      <c r="A3358" t="s">
        <v>3469</v>
      </c>
      <c r="B3358">
        <v>27097657</v>
      </c>
      <c r="C3358">
        <v>26718185</v>
      </c>
      <c r="D3358">
        <v>16</v>
      </c>
    </row>
    <row r="3359" spans="1:4" x14ac:dyDescent="0.35">
      <c r="A3359" t="s">
        <v>3470</v>
      </c>
      <c r="B3359">
        <v>7431207</v>
      </c>
      <c r="C3359">
        <v>7300000</v>
      </c>
      <c r="D3359">
        <v>2</v>
      </c>
    </row>
    <row r="3360" spans="1:4" x14ac:dyDescent="0.35">
      <c r="A3360" t="s">
        <v>3471</v>
      </c>
      <c r="B3360">
        <v>26000000</v>
      </c>
      <c r="C3360">
        <v>26225000</v>
      </c>
      <c r="D3360">
        <v>0</v>
      </c>
    </row>
    <row r="3361" spans="1:4" x14ac:dyDescent="0.35">
      <c r="A3361" t="s">
        <v>3472</v>
      </c>
      <c r="B3361">
        <v>89000</v>
      </c>
      <c r="C3361">
        <v>87055</v>
      </c>
      <c r="D3361">
        <v>7</v>
      </c>
    </row>
    <row r="3362" spans="1:4" x14ac:dyDescent="0.35">
      <c r="A3362" t="s">
        <v>3473</v>
      </c>
      <c r="B3362">
        <v>8800</v>
      </c>
      <c r="C3362">
        <v>8266</v>
      </c>
      <c r="D3362">
        <v>5</v>
      </c>
    </row>
    <row r="3363" spans="1:4" x14ac:dyDescent="0.35">
      <c r="A3363" t="s">
        <v>3474</v>
      </c>
      <c r="B3363">
        <v>5000</v>
      </c>
      <c r="C3363">
        <v>1700</v>
      </c>
      <c r="D3363">
        <v>0</v>
      </c>
    </row>
    <row r="3364" spans="1:4" x14ac:dyDescent="0.35">
      <c r="A3364" t="s">
        <v>3475</v>
      </c>
      <c r="B3364">
        <v>1170</v>
      </c>
      <c r="C3364">
        <v>500</v>
      </c>
      <c r="D3364">
        <v>14</v>
      </c>
    </row>
    <row r="3365" spans="1:4" x14ac:dyDescent="0.35">
      <c r="A3365" t="s">
        <v>3476</v>
      </c>
      <c r="B3365">
        <v>1140</v>
      </c>
      <c r="C3365">
        <v>1475</v>
      </c>
      <c r="D3365">
        <v>16</v>
      </c>
    </row>
    <row r="3366" spans="1:4" x14ac:dyDescent="0.35">
      <c r="A3366" t="s">
        <v>3477</v>
      </c>
      <c r="B3366">
        <v>1078</v>
      </c>
      <c r="C3366">
        <v>1031</v>
      </c>
      <c r="D3366">
        <v>8</v>
      </c>
    </row>
    <row r="3367" spans="1:4" x14ac:dyDescent="0.35">
      <c r="A3367" t="s">
        <v>3478</v>
      </c>
      <c r="B3367">
        <v>1046</v>
      </c>
      <c r="C3367">
        <v>1031</v>
      </c>
      <c r="D3367">
        <v>11</v>
      </c>
    </row>
    <row r="3368" spans="1:4" x14ac:dyDescent="0.35">
      <c r="A3368" t="s">
        <v>3479</v>
      </c>
      <c r="B3368">
        <v>68884</v>
      </c>
      <c r="C3368">
        <v>70055</v>
      </c>
      <c r="D3368">
        <v>12</v>
      </c>
    </row>
    <row r="3369" spans="1:4" x14ac:dyDescent="0.35">
      <c r="A3369" t="s">
        <v>3480</v>
      </c>
      <c r="B3369">
        <v>44691</v>
      </c>
      <c r="C3369">
        <v>45555</v>
      </c>
      <c r="D3369">
        <v>8</v>
      </c>
    </row>
    <row r="3370" spans="1:4" x14ac:dyDescent="0.35">
      <c r="A3370" t="s">
        <v>3481</v>
      </c>
      <c r="B3370">
        <v>40850</v>
      </c>
      <c r="C3370">
        <v>37632</v>
      </c>
      <c r="D3370">
        <v>4</v>
      </c>
    </row>
    <row r="3371" spans="1:4" x14ac:dyDescent="0.35">
      <c r="A3371" t="s">
        <v>3482</v>
      </c>
      <c r="B3371">
        <v>43863</v>
      </c>
      <c r="C3371">
        <v>40000</v>
      </c>
      <c r="D3371">
        <v>6</v>
      </c>
    </row>
    <row r="3372" spans="1:4" x14ac:dyDescent="0.35">
      <c r="A3372" t="s">
        <v>3483</v>
      </c>
      <c r="B3372">
        <v>46220</v>
      </c>
      <c r="C3372">
        <v>45250</v>
      </c>
      <c r="D3372">
        <v>1</v>
      </c>
    </row>
    <row r="3373" spans="1:4" x14ac:dyDescent="0.35">
      <c r="A3373" t="s">
        <v>3484</v>
      </c>
      <c r="B3373">
        <v>7000</v>
      </c>
      <c r="C3373">
        <v>5197</v>
      </c>
      <c r="D3373">
        <v>1</v>
      </c>
    </row>
    <row r="3374" spans="1:4" x14ac:dyDescent="0.35">
      <c r="A3374" t="s">
        <v>3485</v>
      </c>
      <c r="B3374">
        <v>203373</v>
      </c>
      <c r="C3374">
        <v>203141</v>
      </c>
      <c r="D3374">
        <v>51</v>
      </c>
    </row>
    <row r="3375" spans="1:4" x14ac:dyDescent="0.35">
      <c r="A3375" t="s">
        <v>3486</v>
      </c>
      <c r="B3375">
        <v>150000</v>
      </c>
      <c r="C3375">
        <v>126789</v>
      </c>
      <c r="D3375">
        <v>5</v>
      </c>
    </row>
    <row r="3376" spans="1:4" x14ac:dyDescent="0.35">
      <c r="A3376" t="s">
        <v>3487</v>
      </c>
      <c r="B3376">
        <v>6558000</v>
      </c>
      <c r="C3376">
        <v>6255137</v>
      </c>
      <c r="D3376">
        <v>2</v>
      </c>
    </row>
    <row r="3377" spans="1:4" x14ac:dyDescent="0.35">
      <c r="A3377" t="s">
        <v>3488</v>
      </c>
      <c r="B3377">
        <v>22</v>
      </c>
      <c r="C3377">
        <v>22</v>
      </c>
      <c r="D3377">
        <v>3979</v>
      </c>
    </row>
    <row r="3378" spans="1:4" x14ac:dyDescent="0.35">
      <c r="A3378" t="s">
        <v>3489</v>
      </c>
      <c r="B3378">
        <v>116100000</v>
      </c>
      <c r="C3378">
        <v>114921749</v>
      </c>
      <c r="D3378">
        <v>21</v>
      </c>
    </row>
    <row r="3379" spans="1:4" x14ac:dyDescent="0.35">
      <c r="A3379" t="s">
        <v>3490</v>
      </c>
      <c r="B3379">
        <v>320</v>
      </c>
      <c r="C3379">
        <v>303</v>
      </c>
      <c r="D3379">
        <v>41</v>
      </c>
    </row>
    <row r="3380" spans="1:4" x14ac:dyDescent="0.35">
      <c r="A3380" t="s">
        <v>3491</v>
      </c>
      <c r="B3380">
        <v>4000</v>
      </c>
      <c r="C3380">
        <v>3860</v>
      </c>
      <c r="D3380">
        <v>22854</v>
      </c>
    </row>
    <row r="3381" spans="1:4" x14ac:dyDescent="0.35">
      <c r="A3381" t="s">
        <v>3492</v>
      </c>
      <c r="B3381">
        <v>728</v>
      </c>
      <c r="C3381">
        <v>810</v>
      </c>
      <c r="D3381">
        <v>98</v>
      </c>
    </row>
    <row r="3382" spans="1:4" x14ac:dyDescent="0.35">
      <c r="A3382" t="s">
        <v>3493</v>
      </c>
      <c r="B3382">
        <v>34</v>
      </c>
      <c r="C3382">
        <v>37</v>
      </c>
      <c r="D3382">
        <v>1</v>
      </c>
    </row>
    <row r="3383" spans="1:4" x14ac:dyDescent="0.35">
      <c r="A3383" t="s">
        <v>3494</v>
      </c>
      <c r="B3383">
        <v>1556962546</v>
      </c>
      <c r="C3383">
        <v>1549200230</v>
      </c>
      <c r="D3383">
        <v>5</v>
      </c>
    </row>
    <row r="3384" spans="1:4" x14ac:dyDescent="0.35">
      <c r="A3384" t="s">
        <v>3495</v>
      </c>
      <c r="B3384">
        <v>1335</v>
      </c>
      <c r="C3384">
        <v>1319</v>
      </c>
      <c r="D3384">
        <v>13519</v>
      </c>
    </row>
    <row r="3385" spans="1:4" x14ac:dyDescent="0.35">
      <c r="A3385" t="s">
        <v>3496</v>
      </c>
      <c r="B3385">
        <v>14802</v>
      </c>
      <c r="C3385">
        <v>14212</v>
      </c>
      <c r="D3385">
        <v>1527</v>
      </c>
    </row>
    <row r="3386" spans="1:4" x14ac:dyDescent="0.35">
      <c r="A3386" t="s">
        <v>3497</v>
      </c>
      <c r="B3386">
        <v>5000</v>
      </c>
      <c r="C3386">
        <v>1203</v>
      </c>
      <c r="D3386">
        <v>5</v>
      </c>
    </row>
    <row r="3387" spans="1:4" x14ac:dyDescent="0.35">
      <c r="A3387" t="s">
        <v>3498</v>
      </c>
      <c r="B3387">
        <v>11</v>
      </c>
      <c r="C3387">
        <v>8</v>
      </c>
      <c r="D3387">
        <v>12965</v>
      </c>
    </row>
    <row r="3388" spans="1:4" x14ac:dyDescent="0.35">
      <c r="A3388" t="s">
        <v>3499</v>
      </c>
      <c r="B3388">
        <v>258</v>
      </c>
      <c r="C3388">
        <v>258</v>
      </c>
      <c r="D3388">
        <v>1745</v>
      </c>
    </row>
    <row r="3389" spans="1:4" x14ac:dyDescent="0.35">
      <c r="A3389" t="s">
        <v>3500</v>
      </c>
      <c r="B3389">
        <v>132</v>
      </c>
      <c r="C3389">
        <v>500</v>
      </c>
      <c r="D3389">
        <v>17</v>
      </c>
    </row>
    <row r="3390" spans="1:4" x14ac:dyDescent="0.35">
      <c r="A3390" t="s">
        <v>3501</v>
      </c>
      <c r="B3390">
        <v>100</v>
      </c>
      <c r="C3390">
        <v>100</v>
      </c>
      <c r="D3390">
        <v>0</v>
      </c>
    </row>
    <row r="3391" spans="1:4" x14ac:dyDescent="0.35">
      <c r="A3391" t="s">
        <v>3502</v>
      </c>
      <c r="B3391">
        <v>5182</v>
      </c>
      <c r="C3391">
        <v>5000</v>
      </c>
      <c r="D3391">
        <v>0</v>
      </c>
    </row>
    <row r="3392" spans="1:4" x14ac:dyDescent="0.35">
      <c r="A3392" t="s">
        <v>3503</v>
      </c>
      <c r="B3392">
        <v>96</v>
      </c>
      <c r="C3392">
        <v>208</v>
      </c>
      <c r="D3392">
        <v>2</v>
      </c>
    </row>
    <row r="3393" spans="1:4" x14ac:dyDescent="0.35">
      <c r="A3393" t="s">
        <v>3504</v>
      </c>
      <c r="B3393">
        <v>288</v>
      </c>
      <c r="C3393">
        <v>288</v>
      </c>
      <c r="D3393">
        <v>13</v>
      </c>
    </row>
    <row r="3394" spans="1:4" x14ac:dyDescent="0.35">
      <c r="A3394" t="s">
        <v>3505</v>
      </c>
      <c r="B3394">
        <v>44621</v>
      </c>
      <c r="C3394">
        <v>46400</v>
      </c>
      <c r="D3394">
        <v>6</v>
      </c>
    </row>
    <row r="3395" spans="1:4" x14ac:dyDescent="0.35">
      <c r="A3395" t="s">
        <v>3506</v>
      </c>
      <c r="B3395">
        <v>1337999</v>
      </c>
      <c r="C3395">
        <v>985000</v>
      </c>
      <c r="D3395">
        <v>0</v>
      </c>
    </row>
    <row r="3396" spans="1:4" x14ac:dyDescent="0.35">
      <c r="A3396" t="s">
        <v>3507</v>
      </c>
      <c r="B3396">
        <v>1055000</v>
      </c>
      <c r="C3396">
        <v>1000410</v>
      </c>
      <c r="D3396">
        <v>65</v>
      </c>
    </row>
    <row r="3397" spans="1:4" x14ac:dyDescent="0.35">
      <c r="A3397" t="s">
        <v>3508</v>
      </c>
      <c r="B3397">
        <v>969</v>
      </c>
      <c r="C3397">
        <v>800</v>
      </c>
      <c r="D3397">
        <v>43</v>
      </c>
    </row>
    <row r="3398" spans="1:4" x14ac:dyDescent="0.35">
      <c r="A3398" t="s">
        <v>3509</v>
      </c>
      <c r="B3398">
        <v>3798449</v>
      </c>
      <c r="C3398">
        <v>3693012</v>
      </c>
      <c r="D3398">
        <v>55</v>
      </c>
    </row>
    <row r="3399" spans="1:4" x14ac:dyDescent="0.35">
      <c r="A3399" t="s">
        <v>3510</v>
      </c>
      <c r="B3399">
        <v>3800120</v>
      </c>
      <c r="C3399">
        <v>3717556</v>
      </c>
      <c r="D3399">
        <v>0</v>
      </c>
    </row>
    <row r="3400" spans="1:4" x14ac:dyDescent="0.35">
      <c r="A3400" t="s">
        <v>3511</v>
      </c>
      <c r="B3400">
        <v>84</v>
      </c>
      <c r="C3400">
        <v>13</v>
      </c>
      <c r="D3400">
        <v>0</v>
      </c>
    </row>
    <row r="3401" spans="1:4" x14ac:dyDescent="0.35">
      <c r="A3401" t="s">
        <v>3512</v>
      </c>
      <c r="B3401">
        <v>14499</v>
      </c>
      <c r="C3401">
        <v>19</v>
      </c>
      <c r="D3401">
        <v>0</v>
      </c>
    </row>
    <row r="3402" spans="1:4" x14ac:dyDescent="0.35">
      <c r="A3402" t="s">
        <v>3513</v>
      </c>
      <c r="B3402">
        <v>45</v>
      </c>
      <c r="C3402">
        <v>45</v>
      </c>
      <c r="D3402">
        <v>0</v>
      </c>
    </row>
    <row r="3403" spans="1:4" x14ac:dyDescent="0.35">
      <c r="A3403" t="s">
        <v>3514</v>
      </c>
      <c r="B3403">
        <v>60</v>
      </c>
      <c r="C3403">
        <v>31</v>
      </c>
      <c r="D3403">
        <v>0</v>
      </c>
    </row>
    <row r="3404" spans="1:4" x14ac:dyDescent="0.35">
      <c r="A3404" t="s">
        <v>3515</v>
      </c>
      <c r="B3404">
        <v>357</v>
      </c>
      <c r="C3404">
        <v>493</v>
      </c>
      <c r="D3404">
        <v>1</v>
      </c>
    </row>
    <row r="3405" spans="1:4" x14ac:dyDescent="0.35">
      <c r="A3405" t="s">
        <v>3516</v>
      </c>
      <c r="B3405">
        <v>509</v>
      </c>
      <c r="C3405">
        <v>789</v>
      </c>
      <c r="D3405">
        <v>3</v>
      </c>
    </row>
    <row r="3406" spans="1:4" x14ac:dyDescent="0.35">
      <c r="A3406" t="s">
        <v>3517</v>
      </c>
      <c r="B3406">
        <v>6322</v>
      </c>
      <c r="C3406">
        <v>6556</v>
      </c>
      <c r="D3406">
        <v>0</v>
      </c>
    </row>
    <row r="3407" spans="1:4" x14ac:dyDescent="0.35">
      <c r="A3407" t="s">
        <v>3518</v>
      </c>
      <c r="B3407">
        <v>15275</v>
      </c>
      <c r="C3407">
        <v>14503</v>
      </c>
      <c r="D3407">
        <v>0</v>
      </c>
    </row>
    <row r="3408" spans="1:4" x14ac:dyDescent="0.35">
      <c r="A3408" t="s">
        <v>3519</v>
      </c>
      <c r="B3408">
        <v>22</v>
      </c>
      <c r="C3408">
        <v>10</v>
      </c>
      <c r="D3408">
        <v>15</v>
      </c>
    </row>
    <row r="3409" spans="1:4" x14ac:dyDescent="0.35">
      <c r="A3409" t="s">
        <v>3520</v>
      </c>
      <c r="B3409">
        <v>826</v>
      </c>
      <c r="C3409">
        <v>810</v>
      </c>
      <c r="D3409">
        <v>116534</v>
      </c>
    </row>
    <row r="3410" spans="1:4" x14ac:dyDescent="0.35">
      <c r="A3410" t="s">
        <v>3521</v>
      </c>
      <c r="B3410">
        <v>224</v>
      </c>
      <c r="C3410">
        <v>210</v>
      </c>
      <c r="D3410">
        <v>61677</v>
      </c>
    </row>
    <row r="3411" spans="1:4" x14ac:dyDescent="0.35">
      <c r="A3411" t="s">
        <v>3522</v>
      </c>
      <c r="B3411">
        <v>4997</v>
      </c>
      <c r="C3411">
        <v>4287</v>
      </c>
      <c r="D3411">
        <v>9</v>
      </c>
    </row>
    <row r="3412" spans="1:4" x14ac:dyDescent="0.35">
      <c r="A3412" t="s">
        <v>3523</v>
      </c>
      <c r="B3412">
        <v>250000</v>
      </c>
      <c r="C3412">
        <v>217777</v>
      </c>
      <c r="D3412">
        <v>0</v>
      </c>
    </row>
    <row r="3413" spans="1:4" x14ac:dyDescent="0.35">
      <c r="A3413" t="s">
        <v>3524</v>
      </c>
      <c r="B3413">
        <v>12651</v>
      </c>
      <c r="C3413">
        <v>2000</v>
      </c>
      <c r="D3413">
        <v>0</v>
      </c>
    </row>
    <row r="3414" spans="1:4" x14ac:dyDescent="0.35">
      <c r="A3414" t="s">
        <v>3525</v>
      </c>
      <c r="B3414">
        <v>80000</v>
      </c>
      <c r="C3414">
        <v>73000</v>
      </c>
      <c r="D3414">
        <v>0</v>
      </c>
    </row>
    <row r="3415" spans="1:4" x14ac:dyDescent="0.35">
      <c r="A3415" t="s">
        <v>3526</v>
      </c>
      <c r="B3415">
        <v>397555</v>
      </c>
      <c r="C3415">
        <v>460218</v>
      </c>
      <c r="D3415">
        <v>0</v>
      </c>
    </row>
    <row r="3416" spans="1:4" x14ac:dyDescent="0.35">
      <c r="A3416" t="s">
        <v>3527</v>
      </c>
      <c r="B3416">
        <v>4699000</v>
      </c>
      <c r="C3416">
        <v>4088888</v>
      </c>
      <c r="D3416">
        <v>1</v>
      </c>
    </row>
    <row r="3417" spans="1:4" x14ac:dyDescent="0.35">
      <c r="A3417" t="s">
        <v>3528</v>
      </c>
      <c r="B3417">
        <v>635000</v>
      </c>
      <c r="C3417">
        <v>635000</v>
      </c>
      <c r="D3417">
        <v>11</v>
      </c>
    </row>
    <row r="3418" spans="1:4" x14ac:dyDescent="0.35">
      <c r="A3418" t="s">
        <v>3529</v>
      </c>
      <c r="B3418">
        <v>226660</v>
      </c>
      <c r="C3418">
        <v>226660</v>
      </c>
      <c r="D3418">
        <v>0</v>
      </c>
    </row>
    <row r="3419" spans="1:4" x14ac:dyDescent="0.35">
      <c r="A3419" t="s">
        <v>3530</v>
      </c>
      <c r="B3419">
        <v>881892</v>
      </c>
      <c r="C3419">
        <v>360001</v>
      </c>
      <c r="D3419">
        <v>0</v>
      </c>
    </row>
    <row r="3420" spans="1:4" x14ac:dyDescent="0.35">
      <c r="A3420" t="s">
        <v>3531</v>
      </c>
      <c r="B3420">
        <v>6666666</v>
      </c>
      <c r="C3420">
        <v>2558888</v>
      </c>
      <c r="D3420">
        <v>0</v>
      </c>
    </row>
    <row r="3421" spans="1:4" x14ac:dyDescent="0.35">
      <c r="A3421" t="s">
        <v>3532</v>
      </c>
      <c r="B3421">
        <v>328673</v>
      </c>
      <c r="C3421">
        <v>771750</v>
      </c>
      <c r="D3421">
        <v>0</v>
      </c>
    </row>
    <row r="3422" spans="1:4" x14ac:dyDescent="0.35">
      <c r="A3422" t="s">
        <v>3533</v>
      </c>
      <c r="B3422">
        <v>2078648</v>
      </c>
      <c r="C3422">
        <v>1458706</v>
      </c>
      <c r="D3422">
        <v>0</v>
      </c>
    </row>
    <row r="3423" spans="1:4" x14ac:dyDescent="0.35">
      <c r="A3423" t="s">
        <v>3534</v>
      </c>
      <c r="B3423">
        <v>8000000</v>
      </c>
      <c r="C3423">
        <v>7711000</v>
      </c>
      <c r="D3423">
        <v>0</v>
      </c>
    </row>
    <row r="3424" spans="1:4" x14ac:dyDescent="0.35">
      <c r="A3424" t="s">
        <v>3535</v>
      </c>
      <c r="B3424">
        <v>150000</v>
      </c>
      <c r="C3424">
        <v>86406</v>
      </c>
      <c r="D3424">
        <v>0</v>
      </c>
    </row>
    <row r="3425" spans="1:4" x14ac:dyDescent="0.35">
      <c r="A3425" t="s">
        <v>3536</v>
      </c>
      <c r="B3425">
        <v>967198</v>
      </c>
      <c r="C3425">
        <v>889652</v>
      </c>
      <c r="D3425">
        <v>2</v>
      </c>
    </row>
    <row r="3426" spans="1:4" x14ac:dyDescent="0.35">
      <c r="A3426" t="s">
        <v>3537</v>
      </c>
      <c r="B3426">
        <v>775000</v>
      </c>
      <c r="C3426">
        <v>786606</v>
      </c>
      <c r="D3426">
        <v>22</v>
      </c>
    </row>
    <row r="3427" spans="1:4" x14ac:dyDescent="0.35">
      <c r="A3427" t="s">
        <v>3538</v>
      </c>
      <c r="B3427">
        <v>742528</v>
      </c>
      <c r="C3427">
        <v>595350</v>
      </c>
      <c r="D3427">
        <v>1</v>
      </c>
    </row>
    <row r="3428" spans="1:4" x14ac:dyDescent="0.35">
      <c r="A3428" t="s">
        <v>3539</v>
      </c>
      <c r="B3428">
        <v>10000</v>
      </c>
      <c r="C3428">
        <v>47000</v>
      </c>
      <c r="D3428">
        <v>0</v>
      </c>
    </row>
    <row r="3429" spans="1:4" x14ac:dyDescent="0.35">
      <c r="A3429" t="s">
        <v>3540</v>
      </c>
      <c r="B3429">
        <v>167190</v>
      </c>
      <c r="C3429">
        <v>200840</v>
      </c>
      <c r="D3429">
        <v>0</v>
      </c>
    </row>
    <row r="3430" spans="1:4" x14ac:dyDescent="0.35">
      <c r="A3430" t="s">
        <v>3541</v>
      </c>
      <c r="B3430">
        <v>4000000</v>
      </c>
      <c r="C3430">
        <v>1500000</v>
      </c>
      <c r="D3430">
        <v>0</v>
      </c>
    </row>
    <row r="3431" spans="1:4" x14ac:dyDescent="0.35">
      <c r="A3431" t="s">
        <v>3542</v>
      </c>
      <c r="B3431">
        <v>34751</v>
      </c>
      <c r="C3431">
        <v>5775</v>
      </c>
      <c r="D3431">
        <v>0</v>
      </c>
    </row>
    <row r="3432" spans="1:4" x14ac:dyDescent="0.35">
      <c r="A3432" t="s">
        <v>3543</v>
      </c>
      <c r="B3432">
        <v>171677</v>
      </c>
      <c r="C3432">
        <v>32000</v>
      </c>
      <c r="D3432">
        <v>0</v>
      </c>
    </row>
    <row r="3433" spans="1:4" x14ac:dyDescent="0.35">
      <c r="A3433" t="s">
        <v>3544</v>
      </c>
      <c r="B3433">
        <v>918443</v>
      </c>
      <c r="C3433">
        <v>753980</v>
      </c>
      <c r="D3433">
        <v>0</v>
      </c>
    </row>
    <row r="3434" spans="1:4" x14ac:dyDescent="0.35">
      <c r="A3434" t="s">
        <v>3545</v>
      </c>
      <c r="B3434">
        <v>12</v>
      </c>
      <c r="C3434">
        <v>13</v>
      </c>
      <c r="D3434">
        <v>0</v>
      </c>
    </row>
    <row r="3435" spans="1:4" x14ac:dyDescent="0.35">
      <c r="A3435" t="s">
        <v>3546</v>
      </c>
      <c r="B3435">
        <v>8000</v>
      </c>
      <c r="C3435">
        <v>1001</v>
      </c>
      <c r="D3435">
        <v>1</v>
      </c>
    </row>
    <row r="3436" spans="1:4" x14ac:dyDescent="0.35">
      <c r="A3436" t="s">
        <v>3547</v>
      </c>
      <c r="B3436">
        <v>14000</v>
      </c>
      <c r="C3436">
        <v>6000</v>
      </c>
      <c r="D3436">
        <v>0</v>
      </c>
    </row>
    <row r="3437" spans="1:4" x14ac:dyDescent="0.35">
      <c r="A3437" t="s">
        <v>3548</v>
      </c>
      <c r="B3437">
        <v>15000</v>
      </c>
      <c r="C3437">
        <v>5594</v>
      </c>
      <c r="D3437">
        <v>1</v>
      </c>
    </row>
    <row r="3438" spans="1:4" x14ac:dyDescent="0.35">
      <c r="A3438" t="s">
        <v>3549</v>
      </c>
      <c r="B3438">
        <v>50</v>
      </c>
      <c r="C3438">
        <v>28</v>
      </c>
      <c r="D3438">
        <v>6</v>
      </c>
    </row>
    <row r="3439" spans="1:4" x14ac:dyDescent="0.35">
      <c r="A3439" t="s">
        <v>3550</v>
      </c>
      <c r="B3439">
        <v>69929</v>
      </c>
      <c r="C3439">
        <v>64100</v>
      </c>
      <c r="D3439">
        <v>39</v>
      </c>
    </row>
    <row r="3440" spans="1:4" x14ac:dyDescent="0.35">
      <c r="A3440" t="s">
        <v>3551</v>
      </c>
      <c r="B3440">
        <v>784000</v>
      </c>
      <c r="C3440">
        <v>750000</v>
      </c>
      <c r="D3440">
        <v>4</v>
      </c>
    </row>
    <row r="3441" spans="1:4" x14ac:dyDescent="0.35">
      <c r="A3441" t="s">
        <v>3552</v>
      </c>
      <c r="B3441">
        <v>3000</v>
      </c>
      <c r="C3441">
        <v>500</v>
      </c>
      <c r="D3441">
        <v>0</v>
      </c>
    </row>
    <row r="3442" spans="1:4" x14ac:dyDescent="0.35">
      <c r="A3442" t="s">
        <v>3553</v>
      </c>
      <c r="B3442">
        <v>800</v>
      </c>
      <c r="C3442">
        <v>882</v>
      </c>
      <c r="D3442">
        <v>0</v>
      </c>
    </row>
    <row r="3443" spans="1:4" x14ac:dyDescent="0.35">
      <c r="A3443" t="s">
        <v>3554</v>
      </c>
      <c r="B3443">
        <v>1599</v>
      </c>
      <c r="C3443">
        <v>533</v>
      </c>
      <c r="D3443">
        <v>0</v>
      </c>
    </row>
    <row r="3444" spans="1:4" x14ac:dyDescent="0.35">
      <c r="A3444" t="s">
        <v>3555</v>
      </c>
      <c r="B3444">
        <v>329543</v>
      </c>
      <c r="C3444">
        <v>2119</v>
      </c>
      <c r="D3444">
        <v>0</v>
      </c>
    </row>
    <row r="3445" spans="1:4" x14ac:dyDescent="0.35">
      <c r="A3445" t="s">
        <v>3556</v>
      </c>
      <c r="B3445">
        <v>3</v>
      </c>
      <c r="C3445">
        <v>13</v>
      </c>
      <c r="D3445">
        <v>0</v>
      </c>
    </row>
    <row r="3446" spans="1:4" x14ac:dyDescent="0.35">
      <c r="A3446" t="s">
        <v>3557</v>
      </c>
      <c r="B3446">
        <v>6300</v>
      </c>
      <c r="C3446">
        <v>1280</v>
      </c>
      <c r="D3446">
        <v>0</v>
      </c>
    </row>
    <row r="3447" spans="1:4" x14ac:dyDescent="0.35">
      <c r="A3447" t="s">
        <v>3558</v>
      </c>
      <c r="B3447">
        <v>49</v>
      </c>
      <c r="C3447">
        <v>48</v>
      </c>
      <c r="D3447">
        <v>34</v>
      </c>
    </row>
    <row r="3448" spans="1:4" x14ac:dyDescent="0.35">
      <c r="A3448" t="s">
        <v>3559</v>
      </c>
      <c r="B3448">
        <v>7</v>
      </c>
      <c r="C3448">
        <v>5</v>
      </c>
      <c r="D3448">
        <v>3007</v>
      </c>
    </row>
    <row r="3449" spans="1:4" x14ac:dyDescent="0.35">
      <c r="A3449" t="s">
        <v>3560</v>
      </c>
      <c r="B3449">
        <v>2738</v>
      </c>
      <c r="C3449">
        <v>1600</v>
      </c>
      <c r="D3449">
        <v>1</v>
      </c>
    </row>
    <row r="3450" spans="1:4" x14ac:dyDescent="0.35">
      <c r="A3450" t="s">
        <v>3561</v>
      </c>
      <c r="B3450">
        <v>30000</v>
      </c>
      <c r="C3450">
        <v>3174</v>
      </c>
      <c r="D3450">
        <v>1</v>
      </c>
    </row>
    <row r="3451" spans="1:4" x14ac:dyDescent="0.35">
      <c r="A3451" t="s">
        <v>3562</v>
      </c>
      <c r="B3451">
        <v>2500</v>
      </c>
      <c r="C3451">
        <v>2287</v>
      </c>
      <c r="D3451">
        <v>0</v>
      </c>
    </row>
    <row r="3452" spans="1:4" x14ac:dyDescent="0.35">
      <c r="A3452" t="s">
        <v>3563</v>
      </c>
      <c r="B3452">
        <v>120000</v>
      </c>
      <c r="C3452">
        <v>113711</v>
      </c>
      <c r="D3452">
        <v>9</v>
      </c>
    </row>
    <row r="3453" spans="1:4" x14ac:dyDescent="0.35">
      <c r="A3453" t="s">
        <v>3564</v>
      </c>
      <c r="B3453">
        <v>32</v>
      </c>
      <c r="C3453">
        <v>27</v>
      </c>
      <c r="D3453">
        <v>1719</v>
      </c>
    </row>
    <row r="3454" spans="1:4" x14ac:dyDescent="0.35">
      <c r="A3454" t="s">
        <v>3565</v>
      </c>
      <c r="B3454">
        <v>4999</v>
      </c>
      <c r="C3454">
        <v>653</v>
      </c>
      <c r="D3454">
        <v>0</v>
      </c>
    </row>
    <row r="3455" spans="1:4" x14ac:dyDescent="0.35">
      <c r="A3455" t="s">
        <v>3566</v>
      </c>
      <c r="B3455">
        <v>874</v>
      </c>
      <c r="C3455">
        <v>35</v>
      </c>
      <c r="D3455">
        <v>5</v>
      </c>
    </row>
    <row r="3456" spans="1:4" x14ac:dyDescent="0.35">
      <c r="A3456" t="s">
        <v>3567</v>
      </c>
      <c r="B3456">
        <v>0</v>
      </c>
      <c r="C3456">
        <v>0</v>
      </c>
      <c r="D3456">
        <v>0</v>
      </c>
    </row>
    <row r="3457" spans="1:4" x14ac:dyDescent="0.35">
      <c r="A3457" t="s">
        <v>3568</v>
      </c>
      <c r="B3457">
        <v>0</v>
      </c>
      <c r="C3457">
        <v>0</v>
      </c>
      <c r="D3457">
        <v>0</v>
      </c>
    </row>
    <row r="3458" spans="1:4" x14ac:dyDescent="0.35">
      <c r="A3458" t="s">
        <v>3569</v>
      </c>
      <c r="B3458">
        <v>0</v>
      </c>
      <c r="C3458">
        <v>0</v>
      </c>
      <c r="D3458">
        <v>0</v>
      </c>
    </row>
    <row r="3459" spans="1:4" x14ac:dyDescent="0.35">
      <c r="A3459" t="s">
        <v>3570</v>
      </c>
      <c r="B3459">
        <v>0</v>
      </c>
      <c r="C3459">
        <v>0</v>
      </c>
      <c r="D3459">
        <v>0</v>
      </c>
    </row>
    <row r="3460" spans="1:4" x14ac:dyDescent="0.35">
      <c r="A3460" t="s">
        <v>3571</v>
      </c>
      <c r="B3460">
        <v>0</v>
      </c>
      <c r="C3460">
        <v>0</v>
      </c>
      <c r="D3460">
        <v>0</v>
      </c>
    </row>
    <row r="3461" spans="1:4" x14ac:dyDescent="0.35">
      <c r="A3461" t="s">
        <v>3572</v>
      </c>
      <c r="B3461">
        <v>0</v>
      </c>
      <c r="C3461">
        <v>0</v>
      </c>
      <c r="D3461">
        <v>0</v>
      </c>
    </row>
    <row r="3462" spans="1:4" x14ac:dyDescent="0.35">
      <c r="A3462" t="s">
        <v>3573</v>
      </c>
      <c r="B3462">
        <v>0</v>
      </c>
      <c r="C3462">
        <v>0</v>
      </c>
      <c r="D3462">
        <v>0</v>
      </c>
    </row>
    <row r="3463" spans="1:4" x14ac:dyDescent="0.35">
      <c r="A3463" t="s">
        <v>3574</v>
      </c>
      <c r="B3463">
        <v>0</v>
      </c>
      <c r="C3463">
        <v>0</v>
      </c>
      <c r="D3463">
        <v>0</v>
      </c>
    </row>
    <row r="3464" spans="1:4" x14ac:dyDescent="0.35">
      <c r="A3464" t="s">
        <v>3575</v>
      </c>
      <c r="B3464">
        <v>0</v>
      </c>
      <c r="C3464">
        <v>0</v>
      </c>
      <c r="D3464">
        <v>0</v>
      </c>
    </row>
    <row r="3465" spans="1:4" x14ac:dyDescent="0.35">
      <c r="A3465" t="s">
        <v>3576</v>
      </c>
      <c r="B3465">
        <v>0</v>
      </c>
      <c r="C3465">
        <v>0</v>
      </c>
      <c r="D3465">
        <v>0</v>
      </c>
    </row>
    <row r="3466" spans="1:4" x14ac:dyDescent="0.35">
      <c r="A3466" t="s">
        <v>3577</v>
      </c>
      <c r="B3466">
        <v>0</v>
      </c>
      <c r="C3466">
        <v>0</v>
      </c>
      <c r="D3466">
        <v>0</v>
      </c>
    </row>
    <row r="3467" spans="1:4" x14ac:dyDescent="0.35">
      <c r="A3467" t="s">
        <v>3578</v>
      </c>
      <c r="B3467">
        <v>0</v>
      </c>
      <c r="C3467">
        <v>0</v>
      </c>
      <c r="D3467">
        <v>0</v>
      </c>
    </row>
    <row r="3468" spans="1:4" x14ac:dyDescent="0.35">
      <c r="A3468" t="s">
        <v>3579</v>
      </c>
      <c r="B3468">
        <v>0</v>
      </c>
      <c r="C3468">
        <v>0</v>
      </c>
      <c r="D3468">
        <v>0</v>
      </c>
    </row>
    <row r="3469" spans="1:4" x14ac:dyDescent="0.35">
      <c r="A3469" t="s">
        <v>3580</v>
      </c>
      <c r="B3469">
        <v>0</v>
      </c>
      <c r="C3469">
        <v>0</v>
      </c>
      <c r="D3469">
        <v>0</v>
      </c>
    </row>
    <row r="3470" spans="1:4" x14ac:dyDescent="0.35">
      <c r="A3470" t="s">
        <v>3581</v>
      </c>
      <c r="B3470">
        <v>0</v>
      </c>
      <c r="C3470">
        <v>0</v>
      </c>
      <c r="D3470">
        <v>0</v>
      </c>
    </row>
    <row r="3471" spans="1:4" x14ac:dyDescent="0.35">
      <c r="A3471" t="s">
        <v>3582</v>
      </c>
      <c r="B3471">
        <v>0</v>
      </c>
      <c r="C3471">
        <v>0</v>
      </c>
      <c r="D3471">
        <v>0</v>
      </c>
    </row>
    <row r="3472" spans="1:4" x14ac:dyDescent="0.35">
      <c r="A3472" t="s">
        <v>3583</v>
      </c>
      <c r="B3472">
        <v>0</v>
      </c>
      <c r="C3472">
        <v>0</v>
      </c>
      <c r="D3472">
        <v>0</v>
      </c>
    </row>
    <row r="3473" spans="1:4" x14ac:dyDescent="0.35">
      <c r="A3473" t="s">
        <v>3584</v>
      </c>
      <c r="B3473">
        <v>0</v>
      </c>
      <c r="C3473">
        <v>0</v>
      </c>
      <c r="D3473">
        <v>0</v>
      </c>
    </row>
    <row r="3474" spans="1:4" x14ac:dyDescent="0.35">
      <c r="A3474" t="s">
        <v>3585</v>
      </c>
      <c r="B3474">
        <v>0</v>
      </c>
      <c r="C3474">
        <v>0</v>
      </c>
      <c r="D3474">
        <v>0</v>
      </c>
    </row>
    <row r="3475" spans="1:4" x14ac:dyDescent="0.35">
      <c r="A3475" t="s">
        <v>3586</v>
      </c>
      <c r="B3475">
        <v>0</v>
      </c>
      <c r="C3475">
        <v>0</v>
      </c>
      <c r="D3475">
        <v>0</v>
      </c>
    </row>
    <row r="3476" spans="1:4" x14ac:dyDescent="0.35">
      <c r="A3476" t="s">
        <v>3587</v>
      </c>
      <c r="B3476">
        <v>0</v>
      </c>
      <c r="C3476">
        <v>0</v>
      </c>
      <c r="D3476">
        <v>0</v>
      </c>
    </row>
    <row r="3477" spans="1:4" x14ac:dyDescent="0.35">
      <c r="A3477" t="s">
        <v>3588</v>
      </c>
      <c r="B3477">
        <v>0</v>
      </c>
      <c r="C3477">
        <v>0</v>
      </c>
      <c r="D3477">
        <v>0</v>
      </c>
    </row>
    <row r="3478" spans="1:4" x14ac:dyDescent="0.35">
      <c r="A3478" t="s">
        <v>3589</v>
      </c>
      <c r="B3478">
        <v>0</v>
      </c>
      <c r="C3478">
        <v>0</v>
      </c>
      <c r="D3478">
        <v>0</v>
      </c>
    </row>
    <row r="3479" spans="1:4" x14ac:dyDescent="0.35">
      <c r="A3479" t="s">
        <v>3590</v>
      </c>
      <c r="B3479">
        <v>0</v>
      </c>
      <c r="C3479">
        <v>0</v>
      </c>
      <c r="D3479">
        <v>0</v>
      </c>
    </row>
    <row r="3480" spans="1:4" x14ac:dyDescent="0.35">
      <c r="A3480" t="s">
        <v>3591</v>
      </c>
      <c r="B3480">
        <v>0</v>
      </c>
      <c r="C3480">
        <v>0</v>
      </c>
      <c r="D3480">
        <v>0</v>
      </c>
    </row>
    <row r="3481" spans="1:4" x14ac:dyDescent="0.35">
      <c r="A3481" t="s">
        <v>3592</v>
      </c>
      <c r="B3481">
        <v>0</v>
      </c>
      <c r="C3481">
        <v>0</v>
      </c>
      <c r="D3481">
        <v>0</v>
      </c>
    </row>
    <row r="3482" spans="1:4" x14ac:dyDescent="0.35">
      <c r="A3482" t="s">
        <v>3593</v>
      </c>
      <c r="B3482">
        <v>0</v>
      </c>
      <c r="C3482">
        <v>0</v>
      </c>
      <c r="D3482">
        <v>0</v>
      </c>
    </row>
    <row r="3483" spans="1:4" x14ac:dyDescent="0.35">
      <c r="A3483" t="s">
        <v>3594</v>
      </c>
      <c r="B3483">
        <v>0</v>
      </c>
      <c r="C3483">
        <v>0</v>
      </c>
      <c r="D3483">
        <v>0</v>
      </c>
    </row>
    <row r="3484" spans="1:4" x14ac:dyDescent="0.35">
      <c r="A3484" t="s">
        <v>3595</v>
      </c>
      <c r="B3484">
        <v>0</v>
      </c>
      <c r="C3484">
        <v>0</v>
      </c>
      <c r="D3484">
        <v>0</v>
      </c>
    </row>
    <row r="3485" spans="1:4" x14ac:dyDescent="0.35">
      <c r="A3485" t="s">
        <v>3596</v>
      </c>
      <c r="B3485">
        <v>0</v>
      </c>
      <c r="C3485">
        <v>0</v>
      </c>
      <c r="D3485">
        <v>0</v>
      </c>
    </row>
    <row r="3486" spans="1:4" x14ac:dyDescent="0.35">
      <c r="A3486" t="s">
        <v>3597</v>
      </c>
      <c r="B3486">
        <v>0</v>
      </c>
      <c r="C3486">
        <v>0</v>
      </c>
      <c r="D3486">
        <v>0</v>
      </c>
    </row>
    <row r="3487" spans="1:4" x14ac:dyDescent="0.35">
      <c r="A3487" t="s">
        <v>3598</v>
      </c>
      <c r="B3487">
        <v>0</v>
      </c>
      <c r="C3487">
        <v>0</v>
      </c>
      <c r="D3487">
        <v>0</v>
      </c>
    </row>
    <row r="3488" spans="1:4" x14ac:dyDescent="0.35">
      <c r="A3488" t="s">
        <v>3599</v>
      </c>
      <c r="B3488">
        <v>0</v>
      </c>
      <c r="C3488">
        <v>0</v>
      </c>
      <c r="D3488">
        <v>0</v>
      </c>
    </row>
    <row r="3489" spans="1:4" x14ac:dyDescent="0.35">
      <c r="A3489" t="s">
        <v>3600</v>
      </c>
      <c r="B3489">
        <v>0</v>
      </c>
      <c r="C3489">
        <v>0</v>
      </c>
      <c r="D3489">
        <v>0</v>
      </c>
    </row>
    <row r="3490" spans="1:4" x14ac:dyDescent="0.35">
      <c r="A3490" t="s">
        <v>3601</v>
      </c>
      <c r="B3490">
        <v>0</v>
      </c>
      <c r="C3490">
        <v>0</v>
      </c>
      <c r="D3490">
        <v>0</v>
      </c>
    </row>
    <row r="3491" spans="1:4" x14ac:dyDescent="0.35">
      <c r="A3491" t="s">
        <v>3602</v>
      </c>
      <c r="B3491">
        <v>0</v>
      </c>
      <c r="C3491">
        <v>0</v>
      </c>
      <c r="D3491">
        <v>0</v>
      </c>
    </row>
    <row r="3492" spans="1:4" x14ac:dyDescent="0.35">
      <c r="A3492" t="s">
        <v>3603</v>
      </c>
      <c r="B3492">
        <v>0</v>
      </c>
      <c r="C3492">
        <v>0</v>
      </c>
      <c r="D3492">
        <v>0</v>
      </c>
    </row>
    <row r="3493" spans="1:4" x14ac:dyDescent="0.35">
      <c r="A3493" t="s">
        <v>3604</v>
      </c>
      <c r="B3493">
        <v>0</v>
      </c>
      <c r="C3493">
        <v>0</v>
      </c>
      <c r="D3493">
        <v>0</v>
      </c>
    </row>
    <row r="3494" spans="1:4" x14ac:dyDescent="0.35">
      <c r="A3494" t="s">
        <v>3605</v>
      </c>
      <c r="B3494">
        <v>0</v>
      </c>
      <c r="C3494">
        <v>0</v>
      </c>
      <c r="D3494">
        <v>0</v>
      </c>
    </row>
    <row r="3495" spans="1:4" x14ac:dyDescent="0.35">
      <c r="A3495" t="s">
        <v>3606</v>
      </c>
      <c r="B3495">
        <v>0</v>
      </c>
      <c r="C3495">
        <v>0</v>
      </c>
      <c r="D3495">
        <v>0</v>
      </c>
    </row>
    <row r="3496" spans="1:4" x14ac:dyDescent="0.35">
      <c r="A3496" t="s">
        <v>3607</v>
      </c>
      <c r="B3496">
        <v>0</v>
      </c>
      <c r="C3496">
        <v>0</v>
      </c>
      <c r="D3496">
        <v>0</v>
      </c>
    </row>
    <row r="3497" spans="1:4" x14ac:dyDescent="0.35">
      <c r="A3497" t="s">
        <v>3608</v>
      </c>
      <c r="B3497">
        <v>0</v>
      </c>
      <c r="C3497">
        <v>0</v>
      </c>
      <c r="D3497">
        <v>0</v>
      </c>
    </row>
    <row r="3498" spans="1:4" x14ac:dyDescent="0.35">
      <c r="A3498" t="s">
        <v>3609</v>
      </c>
      <c r="B3498">
        <v>0</v>
      </c>
      <c r="C3498">
        <v>0</v>
      </c>
      <c r="D3498">
        <v>0</v>
      </c>
    </row>
    <row r="3499" spans="1:4" x14ac:dyDescent="0.35">
      <c r="A3499" t="s">
        <v>3610</v>
      </c>
      <c r="B3499">
        <v>0</v>
      </c>
      <c r="C3499">
        <v>0</v>
      </c>
      <c r="D3499">
        <v>0</v>
      </c>
    </row>
    <row r="3500" spans="1:4" x14ac:dyDescent="0.35">
      <c r="A3500" t="s">
        <v>3611</v>
      </c>
      <c r="B3500">
        <v>0</v>
      </c>
      <c r="C3500">
        <v>0</v>
      </c>
      <c r="D3500">
        <v>0</v>
      </c>
    </row>
    <row r="3501" spans="1:4" x14ac:dyDescent="0.35">
      <c r="A3501" t="s">
        <v>3612</v>
      </c>
      <c r="B3501">
        <v>0</v>
      </c>
      <c r="C3501">
        <v>0</v>
      </c>
      <c r="D3501">
        <v>0</v>
      </c>
    </row>
    <row r="3502" spans="1:4" x14ac:dyDescent="0.35">
      <c r="A3502" t="s">
        <v>3613</v>
      </c>
      <c r="B3502">
        <v>0</v>
      </c>
      <c r="C3502">
        <v>0</v>
      </c>
      <c r="D3502">
        <v>0</v>
      </c>
    </row>
    <row r="3503" spans="1:4" x14ac:dyDescent="0.35">
      <c r="A3503" t="s">
        <v>3614</v>
      </c>
      <c r="B3503">
        <v>0</v>
      </c>
      <c r="C3503">
        <v>0</v>
      </c>
      <c r="D3503">
        <v>0</v>
      </c>
    </row>
    <row r="3504" spans="1:4" x14ac:dyDescent="0.35">
      <c r="A3504" t="s">
        <v>3615</v>
      </c>
      <c r="B3504">
        <v>0</v>
      </c>
      <c r="C3504">
        <v>0</v>
      </c>
      <c r="D3504">
        <v>0</v>
      </c>
    </row>
    <row r="3505" spans="1:4" x14ac:dyDescent="0.35">
      <c r="A3505" t="s">
        <v>3616</v>
      </c>
      <c r="B3505">
        <v>0</v>
      </c>
      <c r="C3505">
        <v>0</v>
      </c>
      <c r="D3505">
        <v>0</v>
      </c>
    </row>
    <row r="3506" spans="1:4" x14ac:dyDescent="0.35">
      <c r="A3506" t="s">
        <v>3617</v>
      </c>
      <c r="B3506">
        <v>0</v>
      </c>
      <c r="C3506">
        <v>0</v>
      </c>
      <c r="D3506">
        <v>0</v>
      </c>
    </row>
    <row r="3507" spans="1:4" x14ac:dyDescent="0.35">
      <c r="A3507" t="s">
        <v>3618</v>
      </c>
      <c r="B3507">
        <v>0</v>
      </c>
      <c r="C3507">
        <v>0</v>
      </c>
      <c r="D3507">
        <v>0</v>
      </c>
    </row>
    <row r="3508" spans="1:4" x14ac:dyDescent="0.35">
      <c r="A3508" t="s">
        <v>3619</v>
      </c>
      <c r="B3508">
        <v>0</v>
      </c>
      <c r="C3508">
        <v>0</v>
      </c>
      <c r="D3508">
        <v>0</v>
      </c>
    </row>
    <row r="3509" spans="1:4" x14ac:dyDescent="0.35">
      <c r="A3509" t="s">
        <v>3620</v>
      </c>
      <c r="B3509">
        <v>0</v>
      </c>
      <c r="C3509">
        <v>0</v>
      </c>
      <c r="D3509">
        <v>0</v>
      </c>
    </row>
    <row r="3510" spans="1:4" x14ac:dyDescent="0.35">
      <c r="A3510" t="s">
        <v>3621</v>
      </c>
      <c r="B3510">
        <v>0</v>
      </c>
      <c r="C3510">
        <v>0</v>
      </c>
      <c r="D3510">
        <v>0</v>
      </c>
    </row>
    <row r="3511" spans="1:4" x14ac:dyDescent="0.35">
      <c r="A3511" t="s">
        <v>3622</v>
      </c>
      <c r="B3511">
        <v>0</v>
      </c>
      <c r="C3511">
        <v>0</v>
      </c>
      <c r="D3511">
        <v>0</v>
      </c>
    </row>
    <row r="3512" spans="1:4" x14ac:dyDescent="0.35">
      <c r="A3512" t="s">
        <v>3623</v>
      </c>
      <c r="B3512">
        <v>0</v>
      </c>
      <c r="C3512">
        <v>0</v>
      </c>
      <c r="D3512">
        <v>0</v>
      </c>
    </row>
    <row r="3513" spans="1:4" x14ac:dyDescent="0.35">
      <c r="A3513" t="s">
        <v>3624</v>
      </c>
      <c r="B3513">
        <v>0</v>
      </c>
      <c r="C3513">
        <v>0</v>
      </c>
      <c r="D3513">
        <v>0</v>
      </c>
    </row>
    <row r="3514" spans="1:4" x14ac:dyDescent="0.35">
      <c r="A3514" t="s">
        <v>3625</v>
      </c>
      <c r="B3514">
        <v>0</v>
      </c>
      <c r="C3514">
        <v>0</v>
      </c>
      <c r="D3514">
        <v>0</v>
      </c>
    </row>
    <row r="3515" spans="1:4" x14ac:dyDescent="0.35">
      <c r="A3515" t="s">
        <v>3626</v>
      </c>
      <c r="B3515">
        <v>0</v>
      </c>
      <c r="C3515">
        <v>0</v>
      </c>
      <c r="D3515">
        <v>0</v>
      </c>
    </row>
    <row r="3516" spans="1:4" x14ac:dyDescent="0.35">
      <c r="A3516" t="s">
        <v>3627</v>
      </c>
      <c r="B3516">
        <v>0</v>
      </c>
      <c r="C3516">
        <v>0</v>
      </c>
      <c r="D3516">
        <v>0</v>
      </c>
    </row>
    <row r="3517" spans="1:4" x14ac:dyDescent="0.35">
      <c r="A3517" t="s">
        <v>3628</v>
      </c>
      <c r="B3517">
        <v>0</v>
      </c>
      <c r="C3517">
        <v>0</v>
      </c>
      <c r="D3517">
        <v>0</v>
      </c>
    </row>
    <row r="3518" spans="1:4" x14ac:dyDescent="0.35">
      <c r="A3518" t="s">
        <v>3629</v>
      </c>
      <c r="B3518">
        <v>0</v>
      </c>
      <c r="C3518">
        <v>0</v>
      </c>
      <c r="D3518">
        <v>0</v>
      </c>
    </row>
    <row r="3519" spans="1:4" x14ac:dyDescent="0.35">
      <c r="A3519" t="s">
        <v>3630</v>
      </c>
      <c r="B3519">
        <v>0</v>
      </c>
      <c r="C3519">
        <v>0</v>
      </c>
      <c r="D3519">
        <v>0</v>
      </c>
    </row>
    <row r="3520" spans="1:4" x14ac:dyDescent="0.35">
      <c r="A3520" t="s">
        <v>3631</v>
      </c>
      <c r="B3520">
        <v>0</v>
      </c>
      <c r="C3520">
        <v>0</v>
      </c>
      <c r="D3520">
        <v>0</v>
      </c>
    </row>
    <row r="3521" spans="1:4" x14ac:dyDescent="0.35">
      <c r="A3521" t="s">
        <v>3632</v>
      </c>
      <c r="B3521">
        <v>0</v>
      </c>
      <c r="C3521">
        <v>0</v>
      </c>
      <c r="D3521">
        <v>0</v>
      </c>
    </row>
    <row r="3522" spans="1:4" x14ac:dyDescent="0.35">
      <c r="A3522" t="s">
        <v>3633</v>
      </c>
      <c r="B3522">
        <v>0</v>
      </c>
      <c r="C3522">
        <v>0</v>
      </c>
      <c r="D3522">
        <v>0</v>
      </c>
    </row>
    <row r="3523" spans="1:4" x14ac:dyDescent="0.35">
      <c r="A3523" t="s">
        <v>3634</v>
      </c>
      <c r="B3523">
        <v>0</v>
      </c>
      <c r="C3523">
        <v>0</v>
      </c>
      <c r="D3523">
        <v>0</v>
      </c>
    </row>
    <row r="3524" spans="1:4" x14ac:dyDescent="0.35">
      <c r="A3524" t="s">
        <v>3635</v>
      </c>
      <c r="B3524">
        <v>0</v>
      </c>
      <c r="C3524">
        <v>0</v>
      </c>
      <c r="D3524">
        <v>0</v>
      </c>
    </row>
    <row r="3525" spans="1:4" x14ac:dyDescent="0.35">
      <c r="A3525" t="s">
        <v>3636</v>
      </c>
      <c r="B3525">
        <v>0</v>
      </c>
      <c r="C3525">
        <v>0</v>
      </c>
      <c r="D3525">
        <v>0</v>
      </c>
    </row>
    <row r="3526" spans="1:4" x14ac:dyDescent="0.35">
      <c r="A3526" t="s">
        <v>3637</v>
      </c>
      <c r="B3526">
        <v>0</v>
      </c>
      <c r="C3526">
        <v>0</v>
      </c>
      <c r="D3526">
        <v>0</v>
      </c>
    </row>
    <row r="3527" spans="1:4" x14ac:dyDescent="0.35">
      <c r="A3527" t="s">
        <v>3638</v>
      </c>
      <c r="B3527">
        <v>0</v>
      </c>
      <c r="C3527">
        <v>0</v>
      </c>
      <c r="D3527">
        <v>0</v>
      </c>
    </row>
    <row r="3528" spans="1:4" x14ac:dyDescent="0.35">
      <c r="A3528" t="s">
        <v>3639</v>
      </c>
      <c r="B3528">
        <v>0</v>
      </c>
      <c r="C3528">
        <v>0</v>
      </c>
      <c r="D3528">
        <v>0</v>
      </c>
    </row>
    <row r="3529" spans="1:4" x14ac:dyDescent="0.35">
      <c r="A3529" t="s">
        <v>3640</v>
      </c>
      <c r="B3529">
        <v>0</v>
      </c>
      <c r="C3529">
        <v>0</v>
      </c>
      <c r="D3529">
        <v>0</v>
      </c>
    </row>
    <row r="3530" spans="1:4" x14ac:dyDescent="0.35">
      <c r="A3530" t="s">
        <v>3641</v>
      </c>
      <c r="B3530">
        <v>0</v>
      </c>
      <c r="C3530">
        <v>0</v>
      </c>
      <c r="D3530">
        <v>0</v>
      </c>
    </row>
    <row r="3531" spans="1:4" x14ac:dyDescent="0.35">
      <c r="A3531" t="s">
        <v>3642</v>
      </c>
      <c r="B3531">
        <v>0</v>
      </c>
      <c r="C3531">
        <v>0</v>
      </c>
      <c r="D3531">
        <v>0</v>
      </c>
    </row>
    <row r="3532" spans="1:4" x14ac:dyDescent="0.35">
      <c r="A3532" t="s">
        <v>3643</v>
      </c>
      <c r="B3532">
        <v>0</v>
      </c>
      <c r="C3532">
        <v>0</v>
      </c>
      <c r="D3532">
        <v>0</v>
      </c>
    </row>
    <row r="3533" spans="1:4" x14ac:dyDescent="0.35">
      <c r="A3533" t="s">
        <v>3644</v>
      </c>
      <c r="B3533">
        <v>0</v>
      </c>
      <c r="C3533">
        <v>0</v>
      </c>
      <c r="D3533">
        <v>0</v>
      </c>
    </row>
    <row r="3534" spans="1:4" x14ac:dyDescent="0.35">
      <c r="A3534" t="s">
        <v>3645</v>
      </c>
      <c r="B3534">
        <v>0</v>
      </c>
      <c r="C3534">
        <v>0</v>
      </c>
      <c r="D3534">
        <v>0</v>
      </c>
    </row>
    <row r="3535" spans="1:4" x14ac:dyDescent="0.35">
      <c r="A3535" t="s">
        <v>3646</v>
      </c>
      <c r="B3535">
        <v>0</v>
      </c>
      <c r="C3535">
        <v>0</v>
      </c>
      <c r="D3535">
        <v>0</v>
      </c>
    </row>
    <row r="3536" spans="1:4" x14ac:dyDescent="0.35">
      <c r="A3536" t="s">
        <v>3647</v>
      </c>
      <c r="B3536">
        <v>0</v>
      </c>
      <c r="C3536">
        <v>0</v>
      </c>
      <c r="D3536">
        <v>0</v>
      </c>
    </row>
    <row r="3537" spans="1:4" x14ac:dyDescent="0.35">
      <c r="A3537" t="s">
        <v>3648</v>
      </c>
      <c r="B3537">
        <v>0</v>
      </c>
      <c r="C3537">
        <v>0</v>
      </c>
      <c r="D3537">
        <v>0</v>
      </c>
    </row>
    <row r="3538" spans="1:4" x14ac:dyDescent="0.35">
      <c r="A3538" t="s">
        <v>3649</v>
      </c>
      <c r="B3538">
        <v>18</v>
      </c>
      <c r="C3538">
        <v>18</v>
      </c>
      <c r="D3538">
        <v>414</v>
      </c>
    </row>
    <row r="3539" spans="1:4" x14ac:dyDescent="0.35">
      <c r="A3539" t="s">
        <v>3650</v>
      </c>
      <c r="B3539">
        <v>103</v>
      </c>
      <c r="C3539">
        <v>98</v>
      </c>
      <c r="D3539">
        <v>4857</v>
      </c>
    </row>
    <row r="3540" spans="1:4" x14ac:dyDescent="0.35">
      <c r="A3540" t="s">
        <v>3651</v>
      </c>
      <c r="B3540">
        <v>9</v>
      </c>
      <c r="C3540">
        <v>9</v>
      </c>
      <c r="D3540">
        <v>1758</v>
      </c>
    </row>
    <row r="3541" spans="1:4" x14ac:dyDescent="0.35">
      <c r="A3541" t="s">
        <v>3652</v>
      </c>
      <c r="B3541">
        <v>1</v>
      </c>
      <c r="C3541">
        <v>106</v>
      </c>
      <c r="D3541">
        <v>0</v>
      </c>
    </row>
    <row r="3542" spans="1:4" x14ac:dyDescent="0.35">
      <c r="A3542" t="s">
        <v>3653</v>
      </c>
      <c r="B3542">
        <v>115</v>
      </c>
      <c r="C3542">
        <v>1000</v>
      </c>
      <c r="D3542">
        <v>0</v>
      </c>
    </row>
    <row r="3543" spans="1:4" x14ac:dyDescent="0.35">
      <c r="A3543" t="s">
        <v>3654</v>
      </c>
      <c r="B3543">
        <v>1</v>
      </c>
      <c r="C3543">
        <v>282</v>
      </c>
      <c r="D3543">
        <v>0</v>
      </c>
    </row>
    <row r="3544" spans="1:4" x14ac:dyDescent="0.35">
      <c r="A3544" t="s">
        <v>3655</v>
      </c>
      <c r="B3544">
        <v>12</v>
      </c>
      <c r="C3544">
        <v>13</v>
      </c>
      <c r="D3544">
        <v>0</v>
      </c>
    </row>
    <row r="3545" spans="1:4" x14ac:dyDescent="0.35">
      <c r="A3545" t="s">
        <v>119</v>
      </c>
      <c r="B3545">
        <v>1494</v>
      </c>
      <c r="C3545">
        <v>1515</v>
      </c>
      <c r="D3545">
        <v>7</v>
      </c>
    </row>
    <row r="3546" spans="1:4" x14ac:dyDescent="0.35">
      <c r="A3546" t="s">
        <v>3656</v>
      </c>
      <c r="B3546">
        <v>10883</v>
      </c>
      <c r="C3546">
        <v>10775</v>
      </c>
      <c r="D3546">
        <v>0</v>
      </c>
    </row>
    <row r="3547" spans="1:4" x14ac:dyDescent="0.35">
      <c r="A3547" t="s">
        <v>3657</v>
      </c>
      <c r="B3547">
        <v>55</v>
      </c>
      <c r="C3547">
        <v>57</v>
      </c>
      <c r="D3547">
        <v>89059</v>
      </c>
    </row>
    <row r="3548" spans="1:4" x14ac:dyDescent="0.35">
      <c r="A3548" t="s">
        <v>3658</v>
      </c>
      <c r="B3548">
        <v>100</v>
      </c>
      <c r="C3548">
        <v>109</v>
      </c>
      <c r="D3548">
        <v>85</v>
      </c>
    </row>
    <row r="3549" spans="1:4" x14ac:dyDescent="0.35">
      <c r="A3549" t="s">
        <v>3659</v>
      </c>
      <c r="B3549">
        <v>60</v>
      </c>
      <c r="C3549">
        <v>130</v>
      </c>
      <c r="D3549">
        <v>5</v>
      </c>
    </row>
    <row r="3550" spans="1:4" x14ac:dyDescent="0.35">
      <c r="A3550" t="s">
        <v>3660</v>
      </c>
      <c r="B3550">
        <v>24168</v>
      </c>
      <c r="C3550">
        <v>23700</v>
      </c>
      <c r="D3550">
        <v>21</v>
      </c>
    </row>
    <row r="3551" spans="1:4" x14ac:dyDescent="0.35">
      <c r="A3551" t="s">
        <v>3661</v>
      </c>
      <c r="B3551">
        <v>2000000</v>
      </c>
      <c r="C3551">
        <v>2000000</v>
      </c>
      <c r="D3551">
        <v>0</v>
      </c>
    </row>
    <row r="3552" spans="1:4" x14ac:dyDescent="0.35">
      <c r="A3552" t="s">
        <v>3662</v>
      </c>
      <c r="B3552">
        <v>142502</v>
      </c>
      <c r="C3552">
        <v>73398</v>
      </c>
      <c r="D3552">
        <v>0</v>
      </c>
    </row>
    <row r="3553" spans="1:4" x14ac:dyDescent="0.35">
      <c r="A3553" t="s">
        <v>3663</v>
      </c>
      <c r="B3553">
        <v>23358</v>
      </c>
      <c r="C3553">
        <v>23235</v>
      </c>
      <c r="D3553">
        <v>3</v>
      </c>
    </row>
    <row r="3554" spans="1:4" x14ac:dyDescent="0.35">
      <c r="A3554" t="s">
        <v>3664</v>
      </c>
      <c r="B3554">
        <v>274995</v>
      </c>
      <c r="C3554">
        <v>223804</v>
      </c>
      <c r="D3554">
        <v>0</v>
      </c>
    </row>
    <row r="3555" spans="1:4" x14ac:dyDescent="0.35">
      <c r="A3555" t="s">
        <v>3665</v>
      </c>
      <c r="B3555">
        <v>107102</v>
      </c>
      <c r="C3555">
        <v>134516</v>
      </c>
      <c r="D3555">
        <v>0</v>
      </c>
    </row>
    <row r="3556" spans="1:4" x14ac:dyDescent="0.35">
      <c r="A3556" t="s">
        <v>3666</v>
      </c>
      <c r="B3556">
        <v>26249</v>
      </c>
      <c r="C3556">
        <v>26249</v>
      </c>
      <c r="D3556">
        <v>2</v>
      </c>
    </row>
    <row r="3557" spans="1:4" x14ac:dyDescent="0.35">
      <c r="A3557" t="s">
        <v>3667</v>
      </c>
      <c r="B3557">
        <v>18195323</v>
      </c>
      <c r="C3557">
        <v>17511004</v>
      </c>
      <c r="D3557">
        <v>1</v>
      </c>
    </row>
    <row r="3558" spans="1:4" x14ac:dyDescent="0.35">
      <c r="A3558" t="s">
        <v>3668</v>
      </c>
      <c r="B3558">
        <v>800</v>
      </c>
      <c r="C3558">
        <v>1400</v>
      </c>
      <c r="D3558">
        <v>0</v>
      </c>
    </row>
    <row r="3559" spans="1:4" x14ac:dyDescent="0.35">
      <c r="A3559" t="s">
        <v>3669</v>
      </c>
      <c r="B3559">
        <v>202</v>
      </c>
      <c r="C3559">
        <v>200</v>
      </c>
      <c r="D3559">
        <v>1</v>
      </c>
    </row>
    <row r="3560" spans="1:4" x14ac:dyDescent="0.35">
      <c r="A3560" t="s">
        <v>3670</v>
      </c>
      <c r="B3560">
        <v>11862</v>
      </c>
      <c r="C3560">
        <v>11862</v>
      </c>
      <c r="D3560">
        <v>177</v>
      </c>
    </row>
    <row r="3561" spans="1:4" x14ac:dyDescent="0.35">
      <c r="A3561" t="s">
        <v>3671</v>
      </c>
      <c r="B3561">
        <v>12371</v>
      </c>
      <c r="C3561">
        <v>12249</v>
      </c>
      <c r="D3561">
        <v>41</v>
      </c>
    </row>
    <row r="3562" spans="1:4" x14ac:dyDescent="0.35">
      <c r="A3562" t="s">
        <v>3672</v>
      </c>
      <c r="B3562">
        <v>12299</v>
      </c>
      <c r="C3562">
        <v>12001</v>
      </c>
      <c r="D3562">
        <v>923</v>
      </c>
    </row>
    <row r="3563" spans="1:4" x14ac:dyDescent="0.35">
      <c r="A3563" t="s">
        <v>3673</v>
      </c>
      <c r="B3563">
        <v>5000</v>
      </c>
      <c r="C3563">
        <v>2237</v>
      </c>
      <c r="D3563">
        <v>0</v>
      </c>
    </row>
    <row r="3564" spans="1:4" x14ac:dyDescent="0.35">
      <c r="A3564" t="s">
        <v>3674</v>
      </c>
      <c r="B3564">
        <v>250</v>
      </c>
      <c r="C3564">
        <v>746</v>
      </c>
      <c r="D3564">
        <v>0</v>
      </c>
    </row>
    <row r="3565" spans="1:4" x14ac:dyDescent="0.35">
      <c r="A3565" t="s">
        <v>3675</v>
      </c>
      <c r="B3565">
        <v>3125</v>
      </c>
      <c r="C3565">
        <v>3000</v>
      </c>
      <c r="D3565">
        <v>0</v>
      </c>
    </row>
    <row r="3566" spans="1:4" x14ac:dyDescent="0.35">
      <c r="A3566" t="s">
        <v>3676</v>
      </c>
      <c r="B3566">
        <v>46999</v>
      </c>
      <c r="C3566">
        <v>46942</v>
      </c>
      <c r="D3566">
        <v>2</v>
      </c>
    </row>
    <row r="3567" spans="1:4" x14ac:dyDescent="0.35">
      <c r="A3567" t="s">
        <v>3677</v>
      </c>
      <c r="B3567">
        <v>72224</v>
      </c>
      <c r="C3567">
        <v>72224</v>
      </c>
      <c r="D3567">
        <v>0</v>
      </c>
    </row>
    <row r="3568" spans="1:4" x14ac:dyDescent="0.35">
      <c r="A3568" t="s">
        <v>3678</v>
      </c>
      <c r="B3568">
        <v>133</v>
      </c>
      <c r="C3568">
        <v>136</v>
      </c>
      <c r="D3568">
        <v>0</v>
      </c>
    </row>
    <row r="3569" spans="1:4" x14ac:dyDescent="0.35">
      <c r="A3569" t="s">
        <v>3679</v>
      </c>
      <c r="B3569">
        <v>641</v>
      </c>
      <c r="C3569">
        <v>600</v>
      </c>
      <c r="D3569">
        <v>23</v>
      </c>
    </row>
    <row r="3570" spans="1:4" x14ac:dyDescent="0.35">
      <c r="A3570" t="s">
        <v>3680</v>
      </c>
      <c r="B3570">
        <v>149</v>
      </c>
      <c r="C3570">
        <v>101</v>
      </c>
      <c r="D3570">
        <v>156</v>
      </c>
    </row>
    <row r="3571" spans="1:4" x14ac:dyDescent="0.35">
      <c r="A3571" t="s">
        <v>3681</v>
      </c>
      <c r="B3571">
        <v>15453</v>
      </c>
      <c r="C3571">
        <v>5000</v>
      </c>
      <c r="D3571">
        <v>0</v>
      </c>
    </row>
    <row r="3572" spans="1:4" x14ac:dyDescent="0.35">
      <c r="A3572" t="s">
        <v>3682</v>
      </c>
      <c r="B3572">
        <v>115758</v>
      </c>
      <c r="C3572">
        <v>42390</v>
      </c>
      <c r="D3572">
        <v>0</v>
      </c>
    </row>
    <row r="3573" spans="1:4" x14ac:dyDescent="0.35">
      <c r="A3573" t="s">
        <v>3683</v>
      </c>
      <c r="B3573">
        <v>178044</v>
      </c>
      <c r="C3573">
        <v>197277</v>
      </c>
      <c r="D3573">
        <v>0</v>
      </c>
    </row>
    <row r="3574" spans="1:4" x14ac:dyDescent="0.35">
      <c r="A3574" t="s">
        <v>3684</v>
      </c>
      <c r="B3574">
        <v>22780</v>
      </c>
      <c r="C3574">
        <v>21055</v>
      </c>
      <c r="D3574">
        <v>9</v>
      </c>
    </row>
    <row r="3575" spans="1:4" x14ac:dyDescent="0.35">
      <c r="A3575" t="s">
        <v>3685</v>
      </c>
      <c r="B3575">
        <v>27333</v>
      </c>
      <c r="C3575">
        <v>10102</v>
      </c>
      <c r="D3575">
        <v>2</v>
      </c>
    </row>
    <row r="3576" spans="1:4" x14ac:dyDescent="0.35">
      <c r="A3576" t="s">
        <v>3686</v>
      </c>
      <c r="B3576">
        <v>40</v>
      </c>
      <c r="C3576">
        <v>40</v>
      </c>
      <c r="D3576">
        <v>3</v>
      </c>
    </row>
    <row r="3577" spans="1:4" x14ac:dyDescent="0.35">
      <c r="A3577" t="s">
        <v>3687</v>
      </c>
      <c r="B3577">
        <v>2</v>
      </c>
      <c r="C3577">
        <v>140</v>
      </c>
      <c r="D3577">
        <v>0</v>
      </c>
    </row>
    <row r="3578" spans="1:4" x14ac:dyDescent="0.35">
      <c r="A3578" t="s">
        <v>3688</v>
      </c>
      <c r="B3578">
        <v>15000</v>
      </c>
      <c r="C3578">
        <v>10000</v>
      </c>
      <c r="D3578">
        <v>0</v>
      </c>
    </row>
    <row r="3579" spans="1:4" x14ac:dyDescent="0.35">
      <c r="A3579" t="s">
        <v>3689</v>
      </c>
      <c r="B3579">
        <v>159</v>
      </c>
      <c r="C3579">
        <v>118</v>
      </c>
      <c r="D3579">
        <v>44</v>
      </c>
    </row>
    <row r="3580" spans="1:4" x14ac:dyDescent="0.35">
      <c r="A3580" t="s">
        <v>3690</v>
      </c>
      <c r="B3580">
        <v>2467926</v>
      </c>
      <c r="C3580">
        <v>2385000</v>
      </c>
      <c r="D3580">
        <v>21</v>
      </c>
    </row>
    <row r="3581" spans="1:4" x14ac:dyDescent="0.35">
      <c r="A3581" t="s">
        <v>3691</v>
      </c>
      <c r="B3581">
        <v>78</v>
      </c>
      <c r="C3581">
        <v>78</v>
      </c>
      <c r="D3581">
        <v>112874</v>
      </c>
    </row>
    <row r="3582" spans="1:4" x14ac:dyDescent="0.35">
      <c r="A3582" t="s">
        <v>3692</v>
      </c>
      <c r="B3582">
        <v>2268009</v>
      </c>
      <c r="C3582">
        <v>2240589</v>
      </c>
      <c r="D3582">
        <v>7</v>
      </c>
    </row>
    <row r="3583" spans="1:4" x14ac:dyDescent="0.35">
      <c r="A3583" t="s">
        <v>3693</v>
      </c>
      <c r="B3583">
        <v>196</v>
      </c>
      <c r="C3583">
        <v>195</v>
      </c>
      <c r="D3583">
        <v>0</v>
      </c>
    </row>
    <row r="3584" spans="1:4" x14ac:dyDescent="0.35">
      <c r="A3584" t="s">
        <v>3694</v>
      </c>
      <c r="B3584">
        <v>1000</v>
      </c>
      <c r="C3584">
        <v>335</v>
      </c>
      <c r="D3584">
        <v>0</v>
      </c>
    </row>
    <row r="3585" spans="1:4" x14ac:dyDescent="0.35">
      <c r="A3585" t="s">
        <v>3695</v>
      </c>
      <c r="B3585">
        <v>31</v>
      </c>
      <c r="C3585">
        <v>32</v>
      </c>
      <c r="D3585">
        <v>2235</v>
      </c>
    </row>
    <row r="3586" spans="1:4" x14ac:dyDescent="0.35">
      <c r="A3586" t="s">
        <v>3696</v>
      </c>
      <c r="B3586">
        <v>669</v>
      </c>
      <c r="C3586">
        <v>348</v>
      </c>
      <c r="D3586">
        <v>130</v>
      </c>
    </row>
    <row r="3587" spans="1:4" x14ac:dyDescent="0.35">
      <c r="A3587" t="s">
        <v>3697</v>
      </c>
      <c r="B3587">
        <v>1000</v>
      </c>
      <c r="C3587">
        <v>956</v>
      </c>
      <c r="D3587">
        <v>19</v>
      </c>
    </row>
    <row r="3588" spans="1:4" x14ac:dyDescent="0.35">
      <c r="A3588" t="s">
        <v>3698</v>
      </c>
      <c r="B3588">
        <v>541</v>
      </c>
      <c r="C3588">
        <v>402</v>
      </c>
      <c r="D3588">
        <v>323</v>
      </c>
    </row>
    <row r="3589" spans="1:4" x14ac:dyDescent="0.35">
      <c r="A3589" t="s">
        <v>3699</v>
      </c>
      <c r="B3589">
        <v>833</v>
      </c>
      <c r="C3589">
        <v>669</v>
      </c>
      <c r="D3589">
        <v>25</v>
      </c>
    </row>
    <row r="3590" spans="1:4" x14ac:dyDescent="0.35">
      <c r="A3590" t="s">
        <v>3700</v>
      </c>
      <c r="B3590">
        <v>390</v>
      </c>
      <c r="C3590">
        <v>300</v>
      </c>
      <c r="D3590">
        <v>1</v>
      </c>
    </row>
    <row r="3591" spans="1:4" x14ac:dyDescent="0.35">
      <c r="A3591" t="s">
        <v>3701</v>
      </c>
      <c r="B3591">
        <v>17</v>
      </c>
      <c r="C3591">
        <v>100</v>
      </c>
      <c r="D3591">
        <v>3</v>
      </c>
    </row>
    <row r="3592" spans="1:4" x14ac:dyDescent="0.35">
      <c r="A3592" t="s">
        <v>3702</v>
      </c>
      <c r="B3592">
        <v>8453</v>
      </c>
      <c r="C3592">
        <v>8435</v>
      </c>
      <c r="D3592">
        <v>3906</v>
      </c>
    </row>
    <row r="3593" spans="1:4" x14ac:dyDescent="0.35">
      <c r="A3593" t="s">
        <v>82</v>
      </c>
      <c r="B3593">
        <v>8927</v>
      </c>
      <c r="C3593">
        <v>8810</v>
      </c>
      <c r="D3593">
        <v>9114</v>
      </c>
    </row>
    <row r="3594" spans="1:4" x14ac:dyDescent="0.35">
      <c r="A3594" t="s">
        <v>3703</v>
      </c>
      <c r="B3594">
        <v>50821</v>
      </c>
      <c r="C3594">
        <v>49950</v>
      </c>
      <c r="D3594">
        <v>2974</v>
      </c>
    </row>
    <row r="3595" spans="1:4" x14ac:dyDescent="0.35">
      <c r="A3595" t="s">
        <v>75</v>
      </c>
      <c r="B3595">
        <v>566</v>
      </c>
      <c r="C3595">
        <v>547</v>
      </c>
      <c r="D3595">
        <v>37257</v>
      </c>
    </row>
    <row r="3596" spans="1:4" x14ac:dyDescent="0.35">
      <c r="A3596" t="s">
        <v>3704</v>
      </c>
      <c r="B3596">
        <v>6213</v>
      </c>
      <c r="C3596">
        <v>5712</v>
      </c>
      <c r="D3596">
        <v>4543</v>
      </c>
    </row>
    <row r="3597" spans="1:4" x14ac:dyDescent="0.35">
      <c r="A3597" t="s">
        <v>3705</v>
      </c>
      <c r="B3597">
        <v>2359</v>
      </c>
      <c r="C3597">
        <v>2145</v>
      </c>
      <c r="D3597">
        <v>224</v>
      </c>
    </row>
    <row r="3598" spans="1:4" x14ac:dyDescent="0.35">
      <c r="A3598" t="s">
        <v>3706</v>
      </c>
      <c r="B3598">
        <v>248999</v>
      </c>
      <c r="C3598">
        <v>1000</v>
      </c>
      <c r="D3598">
        <v>6</v>
      </c>
    </row>
    <row r="3599" spans="1:4" x14ac:dyDescent="0.35">
      <c r="A3599" t="s">
        <v>3707</v>
      </c>
      <c r="B3599">
        <v>3190</v>
      </c>
      <c r="C3599">
        <v>3098</v>
      </c>
      <c r="D3599">
        <v>145</v>
      </c>
    </row>
    <row r="3600" spans="1:4" x14ac:dyDescent="0.35">
      <c r="A3600" t="s">
        <v>3708</v>
      </c>
      <c r="B3600">
        <v>2811</v>
      </c>
      <c r="C3600">
        <v>2715</v>
      </c>
      <c r="D3600">
        <v>3501</v>
      </c>
    </row>
    <row r="3601" spans="1:4" x14ac:dyDescent="0.35">
      <c r="A3601" t="s">
        <v>3709</v>
      </c>
      <c r="B3601">
        <v>27</v>
      </c>
      <c r="C3601">
        <v>27</v>
      </c>
      <c r="D3601">
        <v>0</v>
      </c>
    </row>
    <row r="3602" spans="1:4" x14ac:dyDescent="0.35">
      <c r="A3602" t="s">
        <v>3710</v>
      </c>
      <c r="B3602">
        <v>156</v>
      </c>
      <c r="C3602">
        <v>152</v>
      </c>
      <c r="D3602">
        <v>62524</v>
      </c>
    </row>
    <row r="3603" spans="1:4" x14ac:dyDescent="0.35">
      <c r="A3603" t="s">
        <v>3711</v>
      </c>
      <c r="B3603">
        <v>1286</v>
      </c>
      <c r="C3603">
        <v>1276</v>
      </c>
      <c r="D3603">
        <v>1211</v>
      </c>
    </row>
    <row r="3604" spans="1:4" x14ac:dyDescent="0.35">
      <c r="A3604" t="s">
        <v>3712</v>
      </c>
      <c r="B3604">
        <v>407</v>
      </c>
      <c r="C3604">
        <v>406</v>
      </c>
      <c r="D3604">
        <v>843560</v>
      </c>
    </row>
    <row r="3605" spans="1:4" x14ac:dyDescent="0.35">
      <c r="A3605" t="s">
        <v>3713</v>
      </c>
      <c r="B3605">
        <v>4038192</v>
      </c>
      <c r="C3605">
        <v>3882378</v>
      </c>
      <c r="D3605">
        <v>14</v>
      </c>
    </row>
    <row r="3606" spans="1:4" x14ac:dyDescent="0.35">
      <c r="A3606" t="s">
        <v>3714</v>
      </c>
      <c r="B3606">
        <v>274400000</v>
      </c>
      <c r="C3606">
        <v>270025694</v>
      </c>
      <c r="D3606">
        <v>14</v>
      </c>
    </row>
    <row r="3607" spans="1:4" x14ac:dyDescent="0.35">
      <c r="A3607" t="s">
        <v>3715</v>
      </c>
      <c r="B3607">
        <v>149</v>
      </c>
      <c r="C3607">
        <v>143</v>
      </c>
      <c r="D3607">
        <v>120</v>
      </c>
    </row>
    <row r="3608" spans="1:4" x14ac:dyDescent="0.35">
      <c r="A3608" t="s">
        <v>3716</v>
      </c>
      <c r="B3608">
        <v>757</v>
      </c>
      <c r="C3608">
        <v>671</v>
      </c>
      <c r="D3608">
        <v>0</v>
      </c>
    </row>
    <row r="3609" spans="1:4" x14ac:dyDescent="0.35">
      <c r="A3609" t="s">
        <v>3717</v>
      </c>
      <c r="B3609">
        <v>26392019</v>
      </c>
      <c r="C3609">
        <v>26200000</v>
      </c>
      <c r="D3609">
        <v>0</v>
      </c>
    </row>
    <row r="3610" spans="1:4" x14ac:dyDescent="0.35">
      <c r="A3610" t="s">
        <v>3718</v>
      </c>
      <c r="B3610">
        <v>27334549</v>
      </c>
      <c r="C3610">
        <v>26672252</v>
      </c>
      <c r="D3610">
        <v>18</v>
      </c>
    </row>
    <row r="3611" spans="1:4" x14ac:dyDescent="0.35">
      <c r="A3611" t="s">
        <v>3719</v>
      </c>
      <c r="B3611">
        <v>53</v>
      </c>
      <c r="C3611">
        <v>71</v>
      </c>
      <c r="D3611">
        <v>3119</v>
      </c>
    </row>
    <row r="3612" spans="1:4" x14ac:dyDescent="0.35">
      <c r="A3612" t="s">
        <v>3720</v>
      </c>
      <c r="B3612">
        <v>6500</v>
      </c>
      <c r="C3612">
        <v>1000</v>
      </c>
      <c r="D3612">
        <v>0</v>
      </c>
    </row>
    <row r="3613" spans="1:4" x14ac:dyDescent="0.35">
      <c r="A3613" t="s">
        <v>3721</v>
      </c>
      <c r="B3613">
        <v>626</v>
      </c>
      <c r="C3613">
        <v>626</v>
      </c>
      <c r="D3613">
        <v>0</v>
      </c>
    </row>
    <row r="3614" spans="1:4" x14ac:dyDescent="0.35">
      <c r="A3614" t="s">
        <v>3722</v>
      </c>
      <c r="B3614">
        <v>1450</v>
      </c>
      <c r="C3614">
        <v>766</v>
      </c>
      <c r="D3614">
        <v>0</v>
      </c>
    </row>
    <row r="3615" spans="1:4" x14ac:dyDescent="0.35">
      <c r="A3615" t="s">
        <v>3723</v>
      </c>
      <c r="B3615">
        <v>474</v>
      </c>
      <c r="C3615">
        <v>610</v>
      </c>
      <c r="D3615">
        <v>0</v>
      </c>
    </row>
    <row r="3616" spans="1:4" x14ac:dyDescent="0.35">
      <c r="A3616" t="s">
        <v>3724</v>
      </c>
      <c r="B3616">
        <v>162</v>
      </c>
      <c r="C3616">
        <v>161</v>
      </c>
      <c r="D3616">
        <v>53</v>
      </c>
    </row>
    <row r="3617" spans="1:4" x14ac:dyDescent="0.35">
      <c r="A3617" t="s">
        <v>3725</v>
      </c>
      <c r="B3617">
        <v>30000</v>
      </c>
      <c r="C3617">
        <v>28246</v>
      </c>
      <c r="D3617">
        <v>1085</v>
      </c>
    </row>
    <row r="3618" spans="1:4" x14ac:dyDescent="0.35">
      <c r="A3618" t="s">
        <v>3726</v>
      </c>
      <c r="B3618">
        <v>2999</v>
      </c>
      <c r="C3618">
        <v>300</v>
      </c>
      <c r="D3618">
        <v>0</v>
      </c>
    </row>
    <row r="3619" spans="1:4" x14ac:dyDescent="0.35">
      <c r="A3619" t="s">
        <v>3727</v>
      </c>
      <c r="B3619">
        <v>4899</v>
      </c>
      <c r="C3619">
        <v>450</v>
      </c>
      <c r="D3619">
        <v>0</v>
      </c>
    </row>
    <row r="3620" spans="1:4" x14ac:dyDescent="0.35">
      <c r="A3620" t="s">
        <v>3728</v>
      </c>
      <c r="B3620">
        <v>7450</v>
      </c>
      <c r="C3620">
        <v>4643</v>
      </c>
      <c r="D3620">
        <v>6</v>
      </c>
    </row>
    <row r="3621" spans="1:4" x14ac:dyDescent="0.35">
      <c r="A3621" t="s">
        <v>3729</v>
      </c>
      <c r="B3621">
        <v>546363</v>
      </c>
      <c r="C3621">
        <v>513448</v>
      </c>
      <c r="D3621">
        <v>29</v>
      </c>
    </row>
    <row r="3622" spans="1:4" x14ac:dyDescent="0.35">
      <c r="A3622" t="s">
        <v>3730</v>
      </c>
      <c r="B3622">
        <v>9940</v>
      </c>
      <c r="C3622">
        <v>16</v>
      </c>
      <c r="D3622">
        <v>0</v>
      </c>
    </row>
    <row r="3623" spans="1:4" x14ac:dyDescent="0.35">
      <c r="A3623" t="s">
        <v>3731</v>
      </c>
      <c r="B3623">
        <v>61</v>
      </c>
      <c r="C3623">
        <v>60</v>
      </c>
      <c r="D3623">
        <v>34</v>
      </c>
    </row>
    <row r="3624" spans="1:4" x14ac:dyDescent="0.35">
      <c r="A3624" t="s">
        <v>3732</v>
      </c>
      <c r="B3624">
        <v>750000</v>
      </c>
      <c r="C3624">
        <v>150000</v>
      </c>
      <c r="D3624">
        <v>0</v>
      </c>
    </row>
    <row r="3625" spans="1:4" x14ac:dyDescent="0.35">
      <c r="A3625" t="s">
        <v>3733</v>
      </c>
      <c r="B3625">
        <v>9000</v>
      </c>
      <c r="C3625">
        <v>4101</v>
      </c>
      <c r="D3625">
        <v>1</v>
      </c>
    </row>
    <row r="3626" spans="1:4" x14ac:dyDescent="0.35">
      <c r="A3626" t="s">
        <v>3734</v>
      </c>
      <c r="B3626">
        <v>3054</v>
      </c>
      <c r="C3626">
        <v>5646</v>
      </c>
      <c r="D3626">
        <v>0</v>
      </c>
    </row>
    <row r="3627" spans="1:4" x14ac:dyDescent="0.35">
      <c r="A3627" t="s">
        <v>3735</v>
      </c>
      <c r="B3627">
        <v>77427</v>
      </c>
      <c r="C3627">
        <v>73910</v>
      </c>
      <c r="D3627">
        <v>6</v>
      </c>
    </row>
    <row r="3628" spans="1:4" x14ac:dyDescent="0.35">
      <c r="A3628" t="s">
        <v>3736</v>
      </c>
      <c r="B3628">
        <v>7338</v>
      </c>
      <c r="C3628">
        <v>6370</v>
      </c>
      <c r="D3628">
        <v>0</v>
      </c>
    </row>
    <row r="3629" spans="1:4" x14ac:dyDescent="0.35">
      <c r="A3629" t="s">
        <v>3737</v>
      </c>
      <c r="B3629">
        <v>52025</v>
      </c>
      <c r="C3629">
        <v>40000</v>
      </c>
      <c r="D3629">
        <v>0</v>
      </c>
    </row>
    <row r="3630" spans="1:4" x14ac:dyDescent="0.35">
      <c r="A3630" t="s">
        <v>3738</v>
      </c>
      <c r="B3630">
        <v>902</v>
      </c>
      <c r="C3630">
        <v>902</v>
      </c>
      <c r="D3630">
        <v>18</v>
      </c>
    </row>
    <row r="3631" spans="1:4" x14ac:dyDescent="0.35">
      <c r="A3631" t="s">
        <v>3739</v>
      </c>
      <c r="B3631">
        <v>52053</v>
      </c>
      <c r="C3631">
        <v>50000</v>
      </c>
      <c r="D3631">
        <v>69</v>
      </c>
    </row>
    <row r="3632" spans="1:4" x14ac:dyDescent="0.35">
      <c r="A3632" t="s">
        <v>3740</v>
      </c>
      <c r="B3632">
        <v>1200</v>
      </c>
      <c r="C3632">
        <v>1082</v>
      </c>
      <c r="D3632">
        <v>106</v>
      </c>
    </row>
    <row r="3633" spans="1:4" x14ac:dyDescent="0.35">
      <c r="A3633" t="s">
        <v>3741</v>
      </c>
      <c r="B3633">
        <v>31829</v>
      </c>
      <c r="C3633">
        <v>31234</v>
      </c>
      <c r="D3633">
        <v>16</v>
      </c>
    </row>
    <row r="3634" spans="1:4" x14ac:dyDescent="0.35">
      <c r="A3634" t="s">
        <v>3742</v>
      </c>
      <c r="B3634">
        <v>8500</v>
      </c>
      <c r="C3634">
        <v>1401</v>
      </c>
      <c r="D3634">
        <v>2</v>
      </c>
    </row>
    <row r="3635" spans="1:4" x14ac:dyDescent="0.35">
      <c r="A3635" t="s">
        <v>3743</v>
      </c>
      <c r="B3635">
        <v>2750</v>
      </c>
      <c r="C3635">
        <v>2324</v>
      </c>
      <c r="D3635">
        <v>286</v>
      </c>
    </row>
    <row r="3636" spans="1:4" x14ac:dyDescent="0.35">
      <c r="A3636" t="s">
        <v>3744</v>
      </c>
      <c r="B3636">
        <v>9808</v>
      </c>
      <c r="C3636">
        <v>9069</v>
      </c>
      <c r="D3636">
        <v>11</v>
      </c>
    </row>
    <row r="3637" spans="1:4" x14ac:dyDescent="0.35">
      <c r="A3637" t="s">
        <v>3745</v>
      </c>
      <c r="B3637">
        <v>23293</v>
      </c>
      <c r="C3637">
        <v>23280</v>
      </c>
      <c r="D3637">
        <v>34</v>
      </c>
    </row>
    <row r="3638" spans="1:4" x14ac:dyDescent="0.35">
      <c r="A3638" t="s">
        <v>3746</v>
      </c>
      <c r="B3638">
        <v>2500</v>
      </c>
      <c r="C3638">
        <v>1000</v>
      </c>
      <c r="D3638">
        <v>0</v>
      </c>
    </row>
    <row r="3639" spans="1:4" x14ac:dyDescent="0.35">
      <c r="A3639" t="s">
        <v>3747</v>
      </c>
      <c r="B3639">
        <v>996</v>
      </c>
      <c r="C3639">
        <v>1306</v>
      </c>
      <c r="D3639">
        <v>1</v>
      </c>
    </row>
    <row r="3640" spans="1:4" x14ac:dyDescent="0.35">
      <c r="A3640" t="s">
        <v>3748</v>
      </c>
      <c r="B3640">
        <v>135</v>
      </c>
      <c r="C3640">
        <v>135</v>
      </c>
      <c r="D3640">
        <v>74</v>
      </c>
    </row>
    <row r="3641" spans="1:4" x14ac:dyDescent="0.35">
      <c r="A3641" t="s">
        <v>3749</v>
      </c>
      <c r="B3641">
        <v>844</v>
      </c>
      <c r="C3641">
        <v>844</v>
      </c>
      <c r="D3641">
        <v>3</v>
      </c>
    </row>
    <row r="3642" spans="1:4" x14ac:dyDescent="0.35">
      <c r="A3642" t="s">
        <v>3750</v>
      </c>
      <c r="B3642">
        <v>1482000</v>
      </c>
      <c r="C3642">
        <v>1482333</v>
      </c>
      <c r="D3642">
        <v>1</v>
      </c>
    </row>
    <row r="3643" spans="1:4" x14ac:dyDescent="0.35">
      <c r="A3643" t="s">
        <v>58</v>
      </c>
      <c r="B3643">
        <v>1863</v>
      </c>
      <c r="C3643">
        <v>1664</v>
      </c>
      <c r="D3643">
        <v>2911</v>
      </c>
    </row>
    <row r="3644" spans="1:4" x14ac:dyDescent="0.35">
      <c r="A3644" t="s">
        <v>3751</v>
      </c>
      <c r="B3644">
        <v>275</v>
      </c>
      <c r="C3644">
        <v>88</v>
      </c>
      <c r="D3644">
        <v>8</v>
      </c>
    </row>
    <row r="3645" spans="1:4" x14ac:dyDescent="0.35">
      <c r="A3645" t="s">
        <v>3752</v>
      </c>
      <c r="B3645">
        <v>1812</v>
      </c>
      <c r="C3645">
        <v>1811</v>
      </c>
      <c r="D3645">
        <v>83</v>
      </c>
    </row>
    <row r="3646" spans="1:4" x14ac:dyDescent="0.35">
      <c r="A3646" t="s">
        <v>3753</v>
      </c>
      <c r="B3646">
        <v>29511799</v>
      </c>
      <c r="C3646">
        <v>28200000</v>
      </c>
      <c r="D3646">
        <v>1</v>
      </c>
    </row>
    <row r="3647" spans="1:4" x14ac:dyDescent="0.35">
      <c r="A3647" t="s">
        <v>3754</v>
      </c>
      <c r="B3647">
        <v>85060</v>
      </c>
      <c r="C3647">
        <v>82301</v>
      </c>
      <c r="D3647">
        <v>1</v>
      </c>
    </row>
    <row r="3648" spans="1:4" x14ac:dyDescent="0.35">
      <c r="A3648" t="s">
        <v>3755</v>
      </c>
      <c r="B3648">
        <v>753</v>
      </c>
      <c r="C3648">
        <v>898</v>
      </c>
      <c r="D3648">
        <v>29</v>
      </c>
    </row>
    <row r="3649" spans="1:4" x14ac:dyDescent="0.35">
      <c r="A3649" t="s">
        <v>3756</v>
      </c>
      <c r="B3649">
        <v>1489</v>
      </c>
      <c r="C3649">
        <v>1400</v>
      </c>
      <c r="D3649">
        <v>58</v>
      </c>
    </row>
    <row r="3650" spans="1:4" x14ac:dyDescent="0.35">
      <c r="A3650" t="s">
        <v>3757</v>
      </c>
      <c r="B3650">
        <v>7485666</v>
      </c>
      <c r="C3650">
        <v>7198828</v>
      </c>
      <c r="D3650">
        <v>4</v>
      </c>
    </row>
    <row r="3651" spans="1:4" x14ac:dyDescent="0.35">
      <c r="A3651" t="s">
        <v>3758</v>
      </c>
      <c r="B3651">
        <v>7675789</v>
      </c>
      <c r="C3651">
        <v>7560000</v>
      </c>
      <c r="D3651">
        <v>8</v>
      </c>
    </row>
    <row r="3652" spans="1:4" x14ac:dyDescent="0.35">
      <c r="A3652" t="s">
        <v>3759</v>
      </c>
      <c r="B3652">
        <v>1598</v>
      </c>
      <c r="C3652">
        <v>1571</v>
      </c>
      <c r="D3652">
        <v>44</v>
      </c>
    </row>
    <row r="3653" spans="1:4" x14ac:dyDescent="0.35">
      <c r="A3653" t="s">
        <v>3760</v>
      </c>
      <c r="B3653">
        <v>560793</v>
      </c>
      <c r="C3653">
        <v>526357</v>
      </c>
      <c r="D3653">
        <v>1</v>
      </c>
    </row>
    <row r="3654" spans="1:4" x14ac:dyDescent="0.35">
      <c r="A3654" t="s">
        <v>3761</v>
      </c>
      <c r="B3654">
        <v>2782</v>
      </c>
      <c r="C3654">
        <v>1677</v>
      </c>
      <c r="D3654">
        <v>0</v>
      </c>
    </row>
    <row r="3655" spans="1:4" x14ac:dyDescent="0.35">
      <c r="A3655" t="s">
        <v>3762</v>
      </c>
      <c r="B3655">
        <v>2477</v>
      </c>
      <c r="C3655">
        <v>889</v>
      </c>
      <c r="D3655">
        <v>0</v>
      </c>
    </row>
    <row r="3656" spans="1:4" x14ac:dyDescent="0.35">
      <c r="A3656" t="s">
        <v>3763</v>
      </c>
      <c r="B3656">
        <v>1279</v>
      </c>
      <c r="C3656">
        <v>1250</v>
      </c>
      <c r="D3656">
        <v>619</v>
      </c>
    </row>
    <row r="3657" spans="1:4" x14ac:dyDescent="0.35">
      <c r="A3657" t="s">
        <v>3764</v>
      </c>
      <c r="B3657">
        <v>2481</v>
      </c>
      <c r="C3657">
        <v>2259</v>
      </c>
      <c r="D3657">
        <v>15</v>
      </c>
    </row>
    <row r="3658" spans="1:4" x14ac:dyDescent="0.35">
      <c r="A3658" t="s">
        <v>79</v>
      </c>
      <c r="B3658">
        <v>4031</v>
      </c>
      <c r="C3658">
        <v>4027</v>
      </c>
      <c r="D3658">
        <v>29</v>
      </c>
    </row>
    <row r="3659" spans="1:4" x14ac:dyDescent="0.35">
      <c r="A3659" t="s">
        <v>95</v>
      </c>
      <c r="B3659">
        <v>5000</v>
      </c>
      <c r="C3659">
        <v>4972</v>
      </c>
      <c r="D3659">
        <v>3430</v>
      </c>
    </row>
    <row r="3660" spans="1:4" x14ac:dyDescent="0.35">
      <c r="A3660" t="s">
        <v>3765</v>
      </c>
      <c r="B3660">
        <v>0</v>
      </c>
      <c r="C3660">
        <v>0</v>
      </c>
      <c r="D3660">
        <v>0</v>
      </c>
    </row>
    <row r="3661" spans="1:4" x14ac:dyDescent="0.35">
      <c r="A3661" t="s">
        <v>3766</v>
      </c>
      <c r="B3661">
        <v>0</v>
      </c>
      <c r="C3661">
        <v>0</v>
      </c>
      <c r="D3661">
        <v>0</v>
      </c>
    </row>
    <row r="3662" spans="1:4" x14ac:dyDescent="0.35">
      <c r="A3662" t="s">
        <v>3767</v>
      </c>
      <c r="B3662">
        <v>0</v>
      </c>
      <c r="C3662">
        <v>0</v>
      </c>
      <c r="D3662">
        <v>0</v>
      </c>
    </row>
    <row r="3663" spans="1:4" x14ac:dyDescent="0.35">
      <c r="A3663" t="s">
        <v>3768</v>
      </c>
      <c r="B3663">
        <v>0</v>
      </c>
      <c r="C3663">
        <v>0</v>
      </c>
      <c r="D3663">
        <v>0</v>
      </c>
    </row>
    <row r="3664" spans="1:4" x14ac:dyDescent="0.35">
      <c r="A3664" t="s">
        <v>3769</v>
      </c>
      <c r="B3664">
        <v>51931</v>
      </c>
      <c r="C3664">
        <v>46000</v>
      </c>
      <c r="D3664">
        <v>4</v>
      </c>
    </row>
    <row r="3665" spans="1:4" x14ac:dyDescent="0.35">
      <c r="A3665" t="s">
        <v>3770</v>
      </c>
      <c r="B3665">
        <v>123</v>
      </c>
      <c r="C3665">
        <v>113</v>
      </c>
      <c r="D3665">
        <v>83760</v>
      </c>
    </row>
    <row r="3666" spans="1:4" x14ac:dyDescent="0.35">
      <c r="A3666" t="s">
        <v>3771</v>
      </c>
      <c r="B3666">
        <v>966458</v>
      </c>
      <c r="C3666">
        <v>776000</v>
      </c>
      <c r="D3666">
        <v>2</v>
      </c>
    </row>
    <row r="3667" spans="1:4" x14ac:dyDescent="0.35">
      <c r="A3667" t="s">
        <v>3772</v>
      </c>
      <c r="B3667">
        <v>115</v>
      </c>
      <c r="C3667">
        <v>100</v>
      </c>
      <c r="D3667">
        <v>0</v>
      </c>
    </row>
    <row r="3668" spans="1:4" x14ac:dyDescent="0.35">
      <c r="A3668" t="s">
        <v>3773</v>
      </c>
      <c r="B3668">
        <v>401</v>
      </c>
      <c r="C3668">
        <v>394</v>
      </c>
      <c r="D3668">
        <v>8</v>
      </c>
    </row>
    <row r="3669" spans="1:4" x14ac:dyDescent="0.35">
      <c r="A3669" t="s">
        <v>3774</v>
      </c>
      <c r="B3669">
        <v>11</v>
      </c>
      <c r="C3669">
        <v>13</v>
      </c>
      <c r="D3669">
        <v>15183</v>
      </c>
    </row>
    <row r="3670" spans="1:4" x14ac:dyDescent="0.35">
      <c r="A3670" t="s">
        <v>3775</v>
      </c>
      <c r="B3670">
        <v>45</v>
      </c>
      <c r="C3670">
        <v>89</v>
      </c>
      <c r="D3670">
        <v>0</v>
      </c>
    </row>
    <row r="3671" spans="1:4" x14ac:dyDescent="0.35">
      <c r="A3671" t="s">
        <v>3776</v>
      </c>
      <c r="B3671">
        <v>3</v>
      </c>
      <c r="C3671">
        <v>255</v>
      </c>
      <c r="D3671">
        <v>0</v>
      </c>
    </row>
    <row r="3672" spans="1:4" x14ac:dyDescent="0.35">
      <c r="A3672" t="s">
        <v>3777</v>
      </c>
      <c r="B3672">
        <v>876</v>
      </c>
      <c r="C3672">
        <v>615</v>
      </c>
      <c r="D3672">
        <v>0</v>
      </c>
    </row>
    <row r="3673" spans="1:4" x14ac:dyDescent="0.35">
      <c r="A3673" t="s">
        <v>3778</v>
      </c>
      <c r="B3673">
        <v>20</v>
      </c>
      <c r="C3673">
        <v>18</v>
      </c>
      <c r="D3673">
        <v>14615</v>
      </c>
    </row>
    <row r="3674" spans="1:4" x14ac:dyDescent="0.35">
      <c r="A3674" t="s">
        <v>3779</v>
      </c>
      <c r="B3674">
        <v>500</v>
      </c>
      <c r="C3674">
        <v>110</v>
      </c>
      <c r="D3674">
        <v>120</v>
      </c>
    </row>
    <row r="3675" spans="1:4" x14ac:dyDescent="0.35">
      <c r="A3675" t="s">
        <v>3780</v>
      </c>
      <c r="B3675">
        <v>600</v>
      </c>
      <c r="C3675">
        <v>592</v>
      </c>
      <c r="D3675">
        <v>181849</v>
      </c>
    </row>
    <row r="3676" spans="1:4" x14ac:dyDescent="0.35">
      <c r="A3676" t="s">
        <v>3781</v>
      </c>
      <c r="B3676">
        <v>189</v>
      </c>
      <c r="C3676">
        <v>250</v>
      </c>
      <c r="D3676">
        <v>19</v>
      </c>
    </row>
    <row r="3677" spans="1:4" x14ac:dyDescent="0.35">
      <c r="A3677" t="s">
        <v>3782</v>
      </c>
      <c r="B3677">
        <v>74</v>
      </c>
      <c r="C3677">
        <v>74</v>
      </c>
      <c r="D3677">
        <v>0</v>
      </c>
    </row>
    <row r="3678" spans="1:4" x14ac:dyDescent="0.35">
      <c r="A3678" t="s">
        <v>3783</v>
      </c>
      <c r="B3678">
        <v>143</v>
      </c>
      <c r="C3678">
        <v>264</v>
      </c>
      <c r="D3678">
        <v>0</v>
      </c>
    </row>
    <row r="3679" spans="1:4" x14ac:dyDescent="0.35">
      <c r="A3679" t="s">
        <v>3784</v>
      </c>
      <c r="B3679">
        <v>237</v>
      </c>
      <c r="C3679">
        <v>3</v>
      </c>
      <c r="D3679">
        <v>0</v>
      </c>
    </row>
    <row r="3680" spans="1:4" x14ac:dyDescent="0.35">
      <c r="A3680" t="s">
        <v>3785</v>
      </c>
      <c r="B3680">
        <v>839</v>
      </c>
      <c r="C3680">
        <v>1306</v>
      </c>
      <c r="D3680">
        <v>0</v>
      </c>
    </row>
    <row r="3681" spans="1:4" x14ac:dyDescent="0.35">
      <c r="A3681" t="s">
        <v>3786</v>
      </c>
      <c r="B3681">
        <v>73</v>
      </c>
      <c r="C3681">
        <v>76</v>
      </c>
      <c r="D3681">
        <v>4000</v>
      </c>
    </row>
    <row r="3682" spans="1:4" x14ac:dyDescent="0.35">
      <c r="A3682" t="s">
        <v>3787</v>
      </c>
      <c r="B3682">
        <v>372</v>
      </c>
      <c r="C3682">
        <v>6124</v>
      </c>
      <c r="D3682">
        <v>0</v>
      </c>
    </row>
    <row r="3683" spans="1:4" x14ac:dyDescent="0.35">
      <c r="A3683" t="s">
        <v>3788</v>
      </c>
      <c r="B3683">
        <v>146</v>
      </c>
      <c r="C3683">
        <v>145</v>
      </c>
      <c r="D3683">
        <v>0</v>
      </c>
    </row>
    <row r="3684" spans="1:4" x14ac:dyDescent="0.35">
      <c r="A3684" t="s">
        <v>3789</v>
      </c>
      <c r="B3684">
        <v>299</v>
      </c>
      <c r="C3684">
        <v>285</v>
      </c>
      <c r="D3684">
        <v>1196290</v>
      </c>
    </row>
    <row r="3685" spans="1:4" x14ac:dyDescent="0.35">
      <c r="A3685" t="s">
        <v>3790</v>
      </c>
      <c r="B3685">
        <v>500</v>
      </c>
      <c r="C3685">
        <v>242</v>
      </c>
      <c r="D3685">
        <v>8</v>
      </c>
    </row>
    <row r="3686" spans="1:4" x14ac:dyDescent="0.35">
      <c r="A3686" t="s">
        <v>3791</v>
      </c>
      <c r="B3686">
        <v>150</v>
      </c>
      <c r="C3686">
        <v>30</v>
      </c>
      <c r="D3686">
        <v>3</v>
      </c>
    </row>
    <row r="3687" spans="1:4" x14ac:dyDescent="0.35">
      <c r="A3687" t="s">
        <v>3792</v>
      </c>
      <c r="B3687">
        <v>146</v>
      </c>
      <c r="C3687">
        <v>20</v>
      </c>
      <c r="D3687">
        <v>1</v>
      </c>
    </row>
    <row r="3688" spans="1:4" x14ac:dyDescent="0.35">
      <c r="A3688" t="s">
        <v>3793</v>
      </c>
      <c r="B3688">
        <v>117</v>
      </c>
      <c r="C3688">
        <v>129</v>
      </c>
      <c r="D3688">
        <v>0</v>
      </c>
    </row>
    <row r="3689" spans="1:4" x14ac:dyDescent="0.35">
      <c r="A3689" t="s">
        <v>3794</v>
      </c>
      <c r="B3689">
        <v>265</v>
      </c>
      <c r="C3689">
        <v>102</v>
      </c>
      <c r="D3689">
        <v>416</v>
      </c>
    </row>
    <row r="3690" spans="1:4" x14ac:dyDescent="0.35">
      <c r="A3690" t="s">
        <v>3795</v>
      </c>
      <c r="B3690">
        <v>90</v>
      </c>
      <c r="C3690">
        <v>10000</v>
      </c>
      <c r="D3690">
        <v>0</v>
      </c>
    </row>
    <row r="3691" spans="1:4" x14ac:dyDescent="0.35">
      <c r="A3691" t="s">
        <v>3796</v>
      </c>
      <c r="B3691">
        <v>881</v>
      </c>
      <c r="C3691">
        <v>1797</v>
      </c>
      <c r="D3691">
        <v>0</v>
      </c>
    </row>
    <row r="3692" spans="1:4" x14ac:dyDescent="0.35">
      <c r="A3692" t="s">
        <v>3797</v>
      </c>
      <c r="B3692">
        <v>3615</v>
      </c>
      <c r="C3692">
        <v>2042</v>
      </c>
      <c r="D3692">
        <v>0</v>
      </c>
    </row>
    <row r="3693" spans="1:4" x14ac:dyDescent="0.35">
      <c r="A3693" t="s">
        <v>3798</v>
      </c>
      <c r="B3693">
        <v>4</v>
      </c>
      <c r="C3693">
        <v>3</v>
      </c>
      <c r="D3693">
        <v>57501</v>
      </c>
    </row>
    <row r="3694" spans="1:4" x14ac:dyDescent="0.35">
      <c r="A3694" t="s">
        <v>3799</v>
      </c>
      <c r="B3694">
        <v>88</v>
      </c>
      <c r="C3694">
        <v>87</v>
      </c>
      <c r="D3694">
        <v>57252</v>
      </c>
    </row>
    <row r="3695" spans="1:4" x14ac:dyDescent="0.35">
      <c r="A3695" t="s">
        <v>3800</v>
      </c>
      <c r="B3695">
        <v>43</v>
      </c>
      <c r="C3695">
        <v>49</v>
      </c>
      <c r="D3695">
        <v>0</v>
      </c>
    </row>
    <row r="3696" spans="1:4" x14ac:dyDescent="0.35">
      <c r="A3696" t="s">
        <v>3801</v>
      </c>
      <c r="B3696">
        <v>49</v>
      </c>
      <c r="C3696">
        <v>77</v>
      </c>
      <c r="D3696">
        <v>0</v>
      </c>
    </row>
    <row r="3697" spans="1:4" x14ac:dyDescent="0.35">
      <c r="A3697" t="s">
        <v>3802</v>
      </c>
      <c r="B3697">
        <v>78</v>
      </c>
      <c r="C3697">
        <v>150</v>
      </c>
      <c r="D3697">
        <v>0</v>
      </c>
    </row>
    <row r="3698" spans="1:4" x14ac:dyDescent="0.35">
      <c r="A3698" t="s">
        <v>3803</v>
      </c>
      <c r="B3698">
        <v>6202</v>
      </c>
      <c r="C3698">
        <v>5500</v>
      </c>
      <c r="D3698">
        <v>1</v>
      </c>
    </row>
    <row r="3699" spans="1:4" x14ac:dyDescent="0.35">
      <c r="A3699" t="s">
        <v>3804</v>
      </c>
      <c r="B3699">
        <v>2000000</v>
      </c>
      <c r="C3699">
        <v>500000</v>
      </c>
      <c r="D3699">
        <v>0</v>
      </c>
    </row>
    <row r="3700" spans="1:4" x14ac:dyDescent="0.35">
      <c r="A3700" t="s">
        <v>3805</v>
      </c>
      <c r="B3700">
        <v>499</v>
      </c>
      <c r="C3700">
        <v>450</v>
      </c>
      <c r="D3700">
        <v>33</v>
      </c>
    </row>
    <row r="3701" spans="1:4" x14ac:dyDescent="0.35">
      <c r="A3701" t="s">
        <v>3806</v>
      </c>
      <c r="B3701">
        <v>8244</v>
      </c>
      <c r="C3701">
        <v>7099</v>
      </c>
      <c r="D3701">
        <v>0</v>
      </c>
    </row>
    <row r="3702" spans="1:4" x14ac:dyDescent="0.35">
      <c r="A3702" t="s">
        <v>3807</v>
      </c>
      <c r="B3702">
        <v>5700</v>
      </c>
      <c r="C3702">
        <v>5044</v>
      </c>
      <c r="D3702">
        <v>0</v>
      </c>
    </row>
    <row r="3703" spans="1:4" x14ac:dyDescent="0.35">
      <c r="A3703" t="s">
        <v>3808</v>
      </c>
      <c r="B3703">
        <v>31344</v>
      </c>
      <c r="C3703">
        <v>25017</v>
      </c>
      <c r="D3703">
        <v>1</v>
      </c>
    </row>
    <row r="3704" spans="1:4" x14ac:dyDescent="0.35">
      <c r="A3704" t="s">
        <v>3809</v>
      </c>
      <c r="B3704">
        <v>38087</v>
      </c>
      <c r="C3704">
        <v>68746</v>
      </c>
      <c r="D3704">
        <v>0</v>
      </c>
    </row>
    <row r="3705" spans="1:4" x14ac:dyDescent="0.35">
      <c r="A3705" t="s">
        <v>3810</v>
      </c>
      <c r="B3705">
        <v>1290</v>
      </c>
      <c r="C3705">
        <v>2597</v>
      </c>
      <c r="D3705">
        <v>0</v>
      </c>
    </row>
    <row r="3706" spans="1:4" x14ac:dyDescent="0.35">
      <c r="A3706" t="s">
        <v>3811</v>
      </c>
      <c r="B3706">
        <v>659</v>
      </c>
      <c r="C3706">
        <v>113</v>
      </c>
      <c r="D3706">
        <v>1</v>
      </c>
    </row>
    <row r="3707" spans="1:4" x14ac:dyDescent="0.35">
      <c r="A3707" t="s">
        <v>3812</v>
      </c>
      <c r="B3707">
        <v>1300</v>
      </c>
      <c r="C3707">
        <v>10</v>
      </c>
      <c r="D3707">
        <v>0</v>
      </c>
    </row>
    <row r="3708" spans="1:4" x14ac:dyDescent="0.35">
      <c r="A3708" t="s">
        <v>3813</v>
      </c>
      <c r="B3708">
        <v>6000</v>
      </c>
      <c r="C3708">
        <v>2</v>
      </c>
      <c r="D3708">
        <v>0</v>
      </c>
    </row>
    <row r="3709" spans="1:4" x14ac:dyDescent="0.35">
      <c r="A3709" t="s">
        <v>3814</v>
      </c>
      <c r="B3709">
        <v>2443</v>
      </c>
      <c r="C3709">
        <v>100</v>
      </c>
      <c r="D3709">
        <v>0</v>
      </c>
    </row>
    <row r="3710" spans="1:4" x14ac:dyDescent="0.35">
      <c r="A3710" t="s">
        <v>3815</v>
      </c>
      <c r="B3710">
        <v>4</v>
      </c>
      <c r="C3710">
        <v>4</v>
      </c>
      <c r="D3710">
        <v>195</v>
      </c>
    </row>
    <row r="3711" spans="1:4" x14ac:dyDescent="0.35">
      <c r="A3711" t="s">
        <v>3816</v>
      </c>
      <c r="B3711">
        <v>365</v>
      </c>
      <c r="C3711">
        <v>90</v>
      </c>
      <c r="D3711">
        <v>0</v>
      </c>
    </row>
    <row r="3712" spans="1:4" x14ac:dyDescent="0.35">
      <c r="A3712" t="s">
        <v>3817</v>
      </c>
      <c r="B3712">
        <v>20</v>
      </c>
      <c r="C3712">
        <v>96</v>
      </c>
      <c r="D3712">
        <v>0</v>
      </c>
    </row>
    <row r="3713" spans="1:4" x14ac:dyDescent="0.35">
      <c r="A3713" t="s">
        <v>3818</v>
      </c>
      <c r="B3713">
        <v>3</v>
      </c>
      <c r="C3713">
        <v>16</v>
      </c>
      <c r="D3713">
        <v>0</v>
      </c>
    </row>
    <row r="3714" spans="1:4" x14ac:dyDescent="0.35">
      <c r="A3714" t="s">
        <v>3819</v>
      </c>
      <c r="B3714">
        <v>1</v>
      </c>
      <c r="C3714">
        <v>38</v>
      </c>
      <c r="D3714">
        <v>0</v>
      </c>
    </row>
    <row r="3715" spans="1:4" x14ac:dyDescent="0.35">
      <c r="A3715" t="s">
        <v>3820</v>
      </c>
      <c r="B3715">
        <v>3140</v>
      </c>
      <c r="C3715">
        <v>2721</v>
      </c>
      <c r="D3715">
        <v>151</v>
      </c>
    </row>
    <row r="3716" spans="1:4" x14ac:dyDescent="0.35">
      <c r="A3716" t="s">
        <v>3821</v>
      </c>
      <c r="B3716">
        <v>430</v>
      </c>
      <c r="C3716">
        <v>363</v>
      </c>
      <c r="D3716">
        <v>291</v>
      </c>
    </row>
    <row r="3717" spans="1:4" x14ac:dyDescent="0.35">
      <c r="A3717" t="s">
        <v>3822</v>
      </c>
      <c r="B3717">
        <v>8252</v>
      </c>
      <c r="C3717">
        <v>8255</v>
      </c>
      <c r="D3717">
        <v>1</v>
      </c>
    </row>
    <row r="3718" spans="1:4" x14ac:dyDescent="0.35">
      <c r="A3718" t="s">
        <v>3823</v>
      </c>
      <c r="B3718">
        <v>4155</v>
      </c>
      <c r="C3718">
        <v>4155</v>
      </c>
      <c r="D3718">
        <v>1</v>
      </c>
    </row>
    <row r="3719" spans="1:4" x14ac:dyDescent="0.35">
      <c r="A3719" t="s">
        <v>3824</v>
      </c>
      <c r="B3719">
        <v>75</v>
      </c>
      <c r="C3719">
        <v>69</v>
      </c>
      <c r="D3719">
        <v>10310</v>
      </c>
    </row>
    <row r="3720" spans="1:4" x14ac:dyDescent="0.35">
      <c r="A3720" t="s">
        <v>3825</v>
      </c>
      <c r="B3720">
        <v>62</v>
      </c>
      <c r="C3720">
        <v>5700</v>
      </c>
      <c r="D3720">
        <v>0</v>
      </c>
    </row>
    <row r="3721" spans="1:4" x14ac:dyDescent="0.35">
      <c r="A3721" t="s">
        <v>3826</v>
      </c>
      <c r="B3721">
        <v>132</v>
      </c>
      <c r="C3721">
        <v>19000</v>
      </c>
      <c r="D3721">
        <v>0</v>
      </c>
    </row>
    <row r="3722" spans="1:4" x14ac:dyDescent="0.35">
      <c r="A3722" t="s">
        <v>3827</v>
      </c>
      <c r="B3722">
        <v>443</v>
      </c>
      <c r="C3722">
        <v>1010</v>
      </c>
      <c r="D3722">
        <v>0</v>
      </c>
    </row>
    <row r="3723" spans="1:4" x14ac:dyDescent="0.35">
      <c r="A3723" t="s">
        <v>3828</v>
      </c>
      <c r="B3723">
        <v>109</v>
      </c>
      <c r="C3723">
        <v>119</v>
      </c>
      <c r="D3723">
        <v>1</v>
      </c>
    </row>
    <row r="3724" spans="1:4" x14ac:dyDescent="0.35">
      <c r="A3724" t="s">
        <v>3829</v>
      </c>
      <c r="B3724">
        <v>951</v>
      </c>
      <c r="C3724">
        <v>100</v>
      </c>
      <c r="D3724">
        <v>0</v>
      </c>
    </row>
    <row r="3725" spans="1:4" x14ac:dyDescent="0.35">
      <c r="A3725" t="s">
        <v>3830</v>
      </c>
      <c r="B3725">
        <v>240</v>
      </c>
      <c r="C3725">
        <v>142</v>
      </c>
      <c r="D3725">
        <v>47</v>
      </c>
    </row>
    <row r="3726" spans="1:4" x14ac:dyDescent="0.35">
      <c r="A3726" t="s">
        <v>3831</v>
      </c>
      <c r="B3726">
        <v>64</v>
      </c>
      <c r="C3726">
        <v>64</v>
      </c>
      <c r="D3726">
        <v>29</v>
      </c>
    </row>
    <row r="3727" spans="1:4" x14ac:dyDescent="0.35">
      <c r="A3727" t="s">
        <v>3832</v>
      </c>
      <c r="B3727">
        <v>100</v>
      </c>
      <c r="C3727">
        <v>80</v>
      </c>
      <c r="D3727">
        <v>39</v>
      </c>
    </row>
    <row r="3728" spans="1:4" x14ac:dyDescent="0.35">
      <c r="A3728" t="s">
        <v>3833</v>
      </c>
      <c r="B3728">
        <v>25</v>
      </c>
      <c r="C3728">
        <v>24</v>
      </c>
      <c r="D3728">
        <v>57212</v>
      </c>
    </row>
    <row r="3729" spans="1:4" x14ac:dyDescent="0.35">
      <c r="A3729" t="s">
        <v>3834</v>
      </c>
      <c r="B3729">
        <v>615</v>
      </c>
      <c r="C3729">
        <v>529</v>
      </c>
      <c r="D3729">
        <v>33</v>
      </c>
    </row>
    <row r="3730" spans="1:4" x14ac:dyDescent="0.35">
      <c r="A3730" t="s">
        <v>3835</v>
      </c>
      <c r="B3730">
        <v>1092</v>
      </c>
      <c r="C3730">
        <v>1011</v>
      </c>
      <c r="D3730">
        <v>2385</v>
      </c>
    </row>
    <row r="3731" spans="1:4" x14ac:dyDescent="0.35">
      <c r="A3731" t="s">
        <v>3836</v>
      </c>
      <c r="B3731">
        <v>22000</v>
      </c>
      <c r="C3731">
        <v>9900</v>
      </c>
      <c r="D3731">
        <v>1</v>
      </c>
    </row>
    <row r="3732" spans="1:4" x14ac:dyDescent="0.35">
      <c r="A3732" t="s">
        <v>3837</v>
      </c>
      <c r="B3732">
        <v>5987</v>
      </c>
      <c r="C3732">
        <v>5987</v>
      </c>
      <c r="D3732">
        <v>0</v>
      </c>
    </row>
    <row r="3733" spans="1:4" x14ac:dyDescent="0.35">
      <c r="A3733" t="s">
        <v>3838</v>
      </c>
      <c r="B3733">
        <v>447</v>
      </c>
      <c r="C3733">
        <v>447</v>
      </c>
      <c r="D3733">
        <v>138</v>
      </c>
    </row>
    <row r="3734" spans="1:4" x14ac:dyDescent="0.35">
      <c r="A3734" t="s">
        <v>3839</v>
      </c>
      <c r="B3734">
        <v>4856</v>
      </c>
      <c r="C3734">
        <v>4664</v>
      </c>
      <c r="D3734">
        <v>1</v>
      </c>
    </row>
    <row r="3735" spans="1:4" x14ac:dyDescent="0.35">
      <c r="A3735" t="s">
        <v>3840</v>
      </c>
      <c r="B3735">
        <v>9075</v>
      </c>
      <c r="C3735">
        <v>4126</v>
      </c>
      <c r="D3735">
        <v>0</v>
      </c>
    </row>
    <row r="3736" spans="1:4" x14ac:dyDescent="0.35">
      <c r="A3736" t="s">
        <v>3841</v>
      </c>
      <c r="B3736">
        <v>578</v>
      </c>
      <c r="C3736">
        <v>402</v>
      </c>
      <c r="D3736">
        <v>148</v>
      </c>
    </row>
    <row r="3737" spans="1:4" x14ac:dyDescent="0.35">
      <c r="A3737" t="s">
        <v>3842</v>
      </c>
      <c r="B3737">
        <v>13500</v>
      </c>
      <c r="C3737">
        <v>6000</v>
      </c>
      <c r="D3737">
        <v>0</v>
      </c>
    </row>
    <row r="3738" spans="1:4" x14ac:dyDescent="0.35">
      <c r="A3738" t="s">
        <v>3843</v>
      </c>
      <c r="B3738">
        <v>2565</v>
      </c>
      <c r="C3738">
        <v>2537</v>
      </c>
      <c r="D3738">
        <v>0</v>
      </c>
    </row>
    <row r="3739" spans="1:4" x14ac:dyDescent="0.35">
      <c r="A3739" t="s">
        <v>3844</v>
      </c>
      <c r="B3739">
        <v>250640</v>
      </c>
      <c r="C3739">
        <v>229220</v>
      </c>
      <c r="D3739">
        <v>11</v>
      </c>
    </row>
    <row r="3740" spans="1:4" x14ac:dyDescent="0.35">
      <c r="A3740" t="s">
        <v>3845</v>
      </c>
      <c r="B3740">
        <v>189</v>
      </c>
      <c r="C3740">
        <v>187</v>
      </c>
      <c r="D3740">
        <v>159</v>
      </c>
    </row>
    <row r="3741" spans="1:4" x14ac:dyDescent="0.35">
      <c r="A3741" t="s">
        <v>3846</v>
      </c>
      <c r="B3741">
        <v>4900</v>
      </c>
      <c r="C3741">
        <v>1336</v>
      </c>
      <c r="D3741">
        <v>1</v>
      </c>
    </row>
    <row r="3742" spans="1:4" x14ac:dyDescent="0.35">
      <c r="A3742" t="s">
        <v>3847</v>
      </c>
      <c r="B3742">
        <v>19350</v>
      </c>
      <c r="C3742">
        <v>10000</v>
      </c>
      <c r="D3742">
        <v>0</v>
      </c>
    </row>
    <row r="3743" spans="1:4" x14ac:dyDescent="0.35">
      <c r="A3743" t="s">
        <v>3848</v>
      </c>
      <c r="B3743">
        <v>68</v>
      </c>
      <c r="C3743">
        <v>66</v>
      </c>
      <c r="D3743">
        <v>0</v>
      </c>
    </row>
    <row r="3744" spans="1:4" x14ac:dyDescent="0.35">
      <c r="A3744" t="s">
        <v>3849</v>
      </c>
      <c r="B3744">
        <v>50</v>
      </c>
      <c r="C3744">
        <v>100</v>
      </c>
      <c r="D3744">
        <v>0</v>
      </c>
    </row>
    <row r="3745" spans="1:4" x14ac:dyDescent="0.35">
      <c r="A3745" t="s">
        <v>3850</v>
      </c>
      <c r="B3745">
        <v>228</v>
      </c>
      <c r="C3745">
        <v>262</v>
      </c>
      <c r="D3745">
        <v>0</v>
      </c>
    </row>
    <row r="3746" spans="1:4" x14ac:dyDescent="0.35">
      <c r="A3746" t="s">
        <v>3851</v>
      </c>
      <c r="B3746">
        <v>499</v>
      </c>
      <c r="C3746">
        <v>888</v>
      </c>
      <c r="D3746">
        <v>0</v>
      </c>
    </row>
    <row r="3747" spans="1:4" x14ac:dyDescent="0.35">
      <c r="A3747" t="s">
        <v>3852</v>
      </c>
      <c r="B3747">
        <v>550</v>
      </c>
      <c r="C3747">
        <v>179</v>
      </c>
      <c r="D3747">
        <v>1</v>
      </c>
    </row>
    <row r="3748" spans="1:4" x14ac:dyDescent="0.35">
      <c r="A3748" t="s">
        <v>3853</v>
      </c>
      <c r="B3748">
        <v>142</v>
      </c>
      <c r="C3748">
        <v>138</v>
      </c>
      <c r="D3748">
        <v>0</v>
      </c>
    </row>
    <row r="3749" spans="1:4" x14ac:dyDescent="0.35">
      <c r="A3749" t="s">
        <v>3854</v>
      </c>
      <c r="B3749">
        <v>95</v>
      </c>
      <c r="C3749">
        <v>95</v>
      </c>
      <c r="D3749">
        <v>63</v>
      </c>
    </row>
    <row r="3750" spans="1:4" x14ac:dyDescent="0.35">
      <c r="A3750" t="s">
        <v>3855</v>
      </c>
      <c r="B3750">
        <v>49</v>
      </c>
      <c r="C3750">
        <v>40</v>
      </c>
      <c r="D3750">
        <v>0</v>
      </c>
    </row>
    <row r="3751" spans="1:4" x14ac:dyDescent="0.35">
      <c r="A3751" t="s">
        <v>3856</v>
      </c>
      <c r="B3751">
        <v>24090</v>
      </c>
      <c r="C3751">
        <v>20655</v>
      </c>
      <c r="D3751">
        <v>0</v>
      </c>
    </row>
    <row r="3752" spans="1:4" x14ac:dyDescent="0.35">
      <c r="A3752" t="s">
        <v>3857</v>
      </c>
      <c r="B3752">
        <v>44976</v>
      </c>
      <c r="C3752">
        <v>38000</v>
      </c>
      <c r="D3752">
        <v>0</v>
      </c>
    </row>
    <row r="3753" spans="1:4" x14ac:dyDescent="0.35">
      <c r="A3753" t="s">
        <v>3858</v>
      </c>
      <c r="B3753">
        <v>297</v>
      </c>
      <c r="C3753">
        <v>153</v>
      </c>
      <c r="D3753">
        <v>1574</v>
      </c>
    </row>
    <row r="3754" spans="1:4" x14ac:dyDescent="0.35">
      <c r="A3754" t="s">
        <v>3859</v>
      </c>
      <c r="B3754">
        <v>55</v>
      </c>
      <c r="C3754">
        <v>78</v>
      </c>
      <c r="D3754">
        <v>776</v>
      </c>
    </row>
    <row r="3755" spans="1:4" x14ac:dyDescent="0.35">
      <c r="A3755" t="s">
        <v>3860</v>
      </c>
      <c r="B3755">
        <v>0</v>
      </c>
      <c r="C3755">
        <v>0</v>
      </c>
      <c r="D3755">
        <v>0</v>
      </c>
    </row>
    <row r="3756" spans="1:4" x14ac:dyDescent="0.35">
      <c r="A3756" t="s">
        <v>3861</v>
      </c>
      <c r="B3756">
        <v>174</v>
      </c>
      <c r="C3756">
        <v>174</v>
      </c>
      <c r="D3756">
        <v>1013</v>
      </c>
    </row>
    <row r="3757" spans="1:4" x14ac:dyDescent="0.35">
      <c r="A3757" t="s">
        <v>3862</v>
      </c>
      <c r="B3757">
        <v>152</v>
      </c>
      <c r="C3757">
        <v>149</v>
      </c>
      <c r="D3757">
        <v>658</v>
      </c>
    </row>
    <row r="3758" spans="1:4" x14ac:dyDescent="0.35">
      <c r="A3758" t="s">
        <v>3863</v>
      </c>
      <c r="B3758">
        <v>205</v>
      </c>
      <c r="C3758">
        <v>199</v>
      </c>
      <c r="D3758">
        <v>337</v>
      </c>
    </row>
    <row r="3759" spans="1:4" x14ac:dyDescent="0.35">
      <c r="A3759" t="s">
        <v>3864</v>
      </c>
      <c r="B3759">
        <v>1560</v>
      </c>
      <c r="C3759">
        <v>1500</v>
      </c>
      <c r="D3759">
        <v>368</v>
      </c>
    </row>
    <row r="3760" spans="1:4" x14ac:dyDescent="0.35">
      <c r="A3760" t="s">
        <v>3865</v>
      </c>
      <c r="B3760">
        <v>252</v>
      </c>
      <c r="C3760">
        <v>252</v>
      </c>
      <c r="D3760">
        <v>132</v>
      </c>
    </row>
    <row r="3761" spans="1:4" x14ac:dyDescent="0.35">
      <c r="A3761" t="s">
        <v>3866</v>
      </c>
      <c r="B3761">
        <v>27799</v>
      </c>
      <c r="C3761">
        <v>27257</v>
      </c>
      <c r="D3761">
        <v>26</v>
      </c>
    </row>
    <row r="3762" spans="1:4" x14ac:dyDescent="0.35">
      <c r="A3762" t="s">
        <v>3867</v>
      </c>
      <c r="B3762">
        <v>422</v>
      </c>
      <c r="C3762">
        <v>416</v>
      </c>
      <c r="D3762">
        <v>93</v>
      </c>
    </row>
    <row r="3763" spans="1:4" x14ac:dyDescent="0.35">
      <c r="A3763" t="s">
        <v>3868</v>
      </c>
      <c r="B3763">
        <v>106</v>
      </c>
      <c r="C3763">
        <v>106</v>
      </c>
      <c r="D3763">
        <v>3860</v>
      </c>
    </row>
    <row r="3764" spans="1:4" x14ac:dyDescent="0.35">
      <c r="A3764" t="s">
        <v>3869</v>
      </c>
      <c r="B3764">
        <v>12</v>
      </c>
      <c r="C3764">
        <v>11</v>
      </c>
      <c r="D3764">
        <v>2760</v>
      </c>
    </row>
    <row r="3765" spans="1:4" x14ac:dyDescent="0.35">
      <c r="A3765" t="s">
        <v>3870</v>
      </c>
      <c r="B3765">
        <v>21488</v>
      </c>
      <c r="C3765">
        <v>16888</v>
      </c>
      <c r="D3765">
        <v>30</v>
      </c>
    </row>
    <row r="3766" spans="1:4" x14ac:dyDescent="0.35">
      <c r="A3766" t="s">
        <v>3871</v>
      </c>
      <c r="B3766">
        <v>130</v>
      </c>
      <c r="C3766">
        <v>126</v>
      </c>
      <c r="D3766">
        <v>0</v>
      </c>
    </row>
    <row r="3767" spans="1:4" x14ac:dyDescent="0.35">
      <c r="A3767" t="s">
        <v>3872</v>
      </c>
      <c r="B3767">
        <v>49</v>
      </c>
      <c r="C3767">
        <v>1</v>
      </c>
      <c r="D3767">
        <v>0</v>
      </c>
    </row>
    <row r="3768" spans="1:4" x14ac:dyDescent="0.35">
      <c r="A3768" t="s">
        <v>3873</v>
      </c>
      <c r="B3768">
        <v>17</v>
      </c>
      <c r="C3768">
        <v>17</v>
      </c>
      <c r="D3768">
        <v>0</v>
      </c>
    </row>
    <row r="3769" spans="1:4" x14ac:dyDescent="0.35">
      <c r="A3769" t="s">
        <v>3874</v>
      </c>
      <c r="B3769">
        <v>34</v>
      </c>
      <c r="C3769">
        <v>150</v>
      </c>
      <c r="D3769">
        <v>14</v>
      </c>
    </row>
    <row r="3770" spans="1:4" x14ac:dyDescent="0.35">
      <c r="A3770" t="s">
        <v>3875</v>
      </c>
      <c r="B3770">
        <v>58</v>
      </c>
      <c r="C3770">
        <v>60</v>
      </c>
      <c r="D3770">
        <v>442</v>
      </c>
    </row>
    <row r="3771" spans="1:4" x14ac:dyDescent="0.35">
      <c r="A3771" t="s">
        <v>3876</v>
      </c>
      <c r="B3771">
        <v>79</v>
      </c>
      <c r="C3771">
        <v>78</v>
      </c>
      <c r="D3771">
        <v>559</v>
      </c>
    </row>
    <row r="3772" spans="1:4" x14ac:dyDescent="0.35">
      <c r="A3772" t="s">
        <v>3877</v>
      </c>
      <c r="B3772">
        <v>50000</v>
      </c>
      <c r="C3772">
        <v>8334</v>
      </c>
      <c r="D3772">
        <v>0</v>
      </c>
    </row>
    <row r="3773" spans="1:4" x14ac:dyDescent="0.35">
      <c r="A3773" t="s">
        <v>3878</v>
      </c>
      <c r="B3773">
        <v>21</v>
      </c>
      <c r="C3773">
        <v>15</v>
      </c>
      <c r="D3773">
        <v>560</v>
      </c>
    </row>
    <row r="3774" spans="1:4" x14ac:dyDescent="0.35">
      <c r="A3774" t="s">
        <v>3879</v>
      </c>
      <c r="B3774">
        <v>759</v>
      </c>
      <c r="C3774">
        <v>2</v>
      </c>
      <c r="D3774">
        <v>0</v>
      </c>
    </row>
    <row r="3775" spans="1:4" x14ac:dyDescent="0.35">
      <c r="A3775" t="s">
        <v>3880</v>
      </c>
      <c r="B3775">
        <v>219</v>
      </c>
      <c r="C3775">
        <v>2</v>
      </c>
      <c r="D3775">
        <v>0</v>
      </c>
    </row>
    <row r="3776" spans="1:4" x14ac:dyDescent="0.35">
      <c r="A3776" t="s">
        <v>3881</v>
      </c>
      <c r="B3776">
        <v>209</v>
      </c>
      <c r="C3776">
        <v>5000</v>
      </c>
      <c r="D3776">
        <v>0</v>
      </c>
    </row>
    <row r="3777" spans="1:4" x14ac:dyDescent="0.35">
      <c r="A3777" t="s">
        <v>3882</v>
      </c>
      <c r="B3777">
        <v>106</v>
      </c>
      <c r="C3777">
        <v>99</v>
      </c>
      <c r="D3777">
        <v>0</v>
      </c>
    </row>
    <row r="3778" spans="1:4" x14ac:dyDescent="0.35">
      <c r="A3778" t="s">
        <v>3883</v>
      </c>
      <c r="B3778">
        <v>331</v>
      </c>
      <c r="C3778">
        <v>331</v>
      </c>
      <c r="D3778">
        <v>0</v>
      </c>
    </row>
    <row r="3779" spans="1:4" x14ac:dyDescent="0.35">
      <c r="A3779" t="s">
        <v>3884</v>
      </c>
      <c r="B3779">
        <v>2005</v>
      </c>
      <c r="C3779">
        <v>100</v>
      </c>
      <c r="D3779">
        <v>2</v>
      </c>
    </row>
    <row r="3780" spans="1:4" x14ac:dyDescent="0.35">
      <c r="A3780" t="s">
        <v>3885</v>
      </c>
      <c r="B3780">
        <v>1655</v>
      </c>
      <c r="C3780">
        <v>1740</v>
      </c>
      <c r="D3780">
        <v>254</v>
      </c>
    </row>
    <row r="3781" spans="1:4" x14ac:dyDescent="0.35">
      <c r="A3781" t="s">
        <v>3886</v>
      </c>
      <c r="B3781">
        <v>376</v>
      </c>
      <c r="C3781">
        <v>376</v>
      </c>
      <c r="D3781">
        <v>32</v>
      </c>
    </row>
    <row r="3782" spans="1:4" x14ac:dyDescent="0.35">
      <c r="A3782" t="s">
        <v>3887</v>
      </c>
      <c r="B3782">
        <v>25000</v>
      </c>
      <c r="C3782">
        <v>24208</v>
      </c>
      <c r="D3782">
        <v>2</v>
      </c>
    </row>
    <row r="3783" spans="1:4" x14ac:dyDescent="0.35">
      <c r="A3783" t="s">
        <v>3888</v>
      </c>
      <c r="B3783">
        <v>1790</v>
      </c>
      <c r="C3783">
        <v>500</v>
      </c>
      <c r="D3783">
        <v>0</v>
      </c>
    </row>
    <row r="3784" spans="1:4" x14ac:dyDescent="0.35">
      <c r="A3784" t="s">
        <v>3889</v>
      </c>
      <c r="B3784">
        <v>950</v>
      </c>
      <c r="C3784">
        <v>280</v>
      </c>
      <c r="D3784">
        <v>75</v>
      </c>
    </row>
    <row r="3785" spans="1:4" x14ac:dyDescent="0.35">
      <c r="A3785" t="s">
        <v>3890</v>
      </c>
      <c r="B3785">
        <v>14212</v>
      </c>
      <c r="C3785">
        <v>13500</v>
      </c>
      <c r="D3785">
        <v>0</v>
      </c>
    </row>
    <row r="3786" spans="1:4" x14ac:dyDescent="0.35">
      <c r="A3786" t="s">
        <v>3891</v>
      </c>
      <c r="B3786">
        <v>4000</v>
      </c>
      <c r="C3786">
        <v>2927</v>
      </c>
      <c r="D3786">
        <v>0</v>
      </c>
    </row>
    <row r="3787" spans="1:4" x14ac:dyDescent="0.35">
      <c r="A3787" t="s">
        <v>3892</v>
      </c>
      <c r="B3787">
        <v>898000</v>
      </c>
      <c r="C3787">
        <v>724264</v>
      </c>
      <c r="D3787">
        <v>3</v>
      </c>
    </row>
    <row r="3788" spans="1:4" x14ac:dyDescent="0.35">
      <c r="A3788" t="s">
        <v>3893</v>
      </c>
      <c r="B3788">
        <v>7877</v>
      </c>
      <c r="C3788">
        <v>7882</v>
      </c>
      <c r="D3788">
        <v>85</v>
      </c>
    </row>
    <row r="3789" spans="1:4" x14ac:dyDescent="0.35">
      <c r="A3789" t="s">
        <v>3894</v>
      </c>
      <c r="B3789">
        <v>77544</v>
      </c>
      <c r="C3789">
        <v>72944</v>
      </c>
      <c r="D3789">
        <v>29</v>
      </c>
    </row>
    <row r="3790" spans="1:4" x14ac:dyDescent="0.35">
      <c r="A3790" t="s">
        <v>3895</v>
      </c>
      <c r="B3790">
        <v>829</v>
      </c>
      <c r="C3790">
        <v>812</v>
      </c>
      <c r="D3790">
        <v>1261</v>
      </c>
    </row>
    <row r="3791" spans="1:4" x14ac:dyDescent="0.35">
      <c r="A3791" t="s">
        <v>3896</v>
      </c>
      <c r="B3791">
        <v>1300</v>
      </c>
      <c r="C3791">
        <v>1223</v>
      </c>
      <c r="D3791">
        <v>680</v>
      </c>
    </row>
    <row r="3792" spans="1:4" x14ac:dyDescent="0.35">
      <c r="A3792" t="s">
        <v>3897</v>
      </c>
      <c r="B3792">
        <v>2955</v>
      </c>
      <c r="C3792">
        <v>10000</v>
      </c>
      <c r="D3792">
        <v>0</v>
      </c>
    </row>
    <row r="3793" spans="1:4" x14ac:dyDescent="0.35">
      <c r="A3793" t="s">
        <v>3898</v>
      </c>
      <c r="B3793">
        <v>80</v>
      </c>
      <c r="C3793">
        <v>50</v>
      </c>
      <c r="D3793">
        <v>0</v>
      </c>
    </row>
    <row r="3794" spans="1:4" x14ac:dyDescent="0.35">
      <c r="A3794" t="s">
        <v>3899</v>
      </c>
      <c r="B3794">
        <v>9764566</v>
      </c>
      <c r="C3794">
        <v>9547669</v>
      </c>
      <c r="D3794">
        <v>2</v>
      </c>
    </row>
    <row r="3795" spans="1:4" x14ac:dyDescent="0.35">
      <c r="A3795" t="s">
        <v>3900</v>
      </c>
      <c r="B3795">
        <v>4798178</v>
      </c>
      <c r="C3795">
        <v>4798178</v>
      </c>
      <c r="D3795">
        <v>11</v>
      </c>
    </row>
    <row r="3796" spans="1:4" x14ac:dyDescent="0.35">
      <c r="A3796" t="s">
        <v>3901</v>
      </c>
      <c r="B3796">
        <v>3940000</v>
      </c>
      <c r="C3796">
        <v>3500000</v>
      </c>
      <c r="D3796">
        <v>6</v>
      </c>
    </row>
    <row r="3797" spans="1:4" x14ac:dyDescent="0.35">
      <c r="A3797" t="s">
        <v>3902</v>
      </c>
      <c r="B3797">
        <v>1771486</v>
      </c>
      <c r="C3797">
        <v>1722630</v>
      </c>
      <c r="D3797">
        <v>15</v>
      </c>
    </row>
    <row r="3798" spans="1:4" x14ac:dyDescent="0.35">
      <c r="A3798" t="s">
        <v>3903</v>
      </c>
      <c r="B3798">
        <v>103</v>
      </c>
      <c r="C3798">
        <v>100</v>
      </c>
      <c r="D3798">
        <v>28600</v>
      </c>
    </row>
    <row r="3799" spans="1:4" x14ac:dyDescent="0.35">
      <c r="A3799" t="s">
        <v>3904</v>
      </c>
      <c r="B3799">
        <v>240</v>
      </c>
      <c r="C3799">
        <v>233</v>
      </c>
      <c r="D3799">
        <v>261376</v>
      </c>
    </row>
    <row r="3800" spans="1:4" x14ac:dyDescent="0.35">
      <c r="A3800" t="s">
        <v>3905</v>
      </c>
      <c r="B3800">
        <v>1824</v>
      </c>
      <c r="C3800">
        <v>1790</v>
      </c>
      <c r="D3800">
        <v>8</v>
      </c>
    </row>
    <row r="3801" spans="1:4" x14ac:dyDescent="0.35">
      <c r="A3801" t="s">
        <v>3906</v>
      </c>
      <c r="B3801">
        <v>840</v>
      </c>
      <c r="C3801">
        <v>819</v>
      </c>
      <c r="D3801">
        <v>114</v>
      </c>
    </row>
    <row r="3802" spans="1:4" x14ac:dyDescent="0.35">
      <c r="A3802" t="s">
        <v>3907</v>
      </c>
      <c r="B3802">
        <v>161</v>
      </c>
      <c r="C3802">
        <v>161</v>
      </c>
      <c r="D3802">
        <v>15775</v>
      </c>
    </row>
    <row r="3803" spans="1:4" x14ac:dyDescent="0.35">
      <c r="A3803" t="s">
        <v>3908</v>
      </c>
      <c r="B3803">
        <v>475</v>
      </c>
      <c r="C3803">
        <v>315</v>
      </c>
      <c r="D3803">
        <v>47</v>
      </c>
    </row>
    <row r="3804" spans="1:4" x14ac:dyDescent="0.35">
      <c r="A3804" t="s">
        <v>3909</v>
      </c>
      <c r="B3804">
        <v>715</v>
      </c>
      <c r="C3804">
        <v>685</v>
      </c>
      <c r="D3804">
        <v>0</v>
      </c>
    </row>
    <row r="3805" spans="1:4" x14ac:dyDescent="0.35">
      <c r="A3805" t="s">
        <v>3910</v>
      </c>
      <c r="B3805">
        <v>2300</v>
      </c>
      <c r="C3805">
        <v>1731</v>
      </c>
      <c r="D3805">
        <v>713</v>
      </c>
    </row>
    <row r="3806" spans="1:4" x14ac:dyDescent="0.35">
      <c r="A3806" t="s">
        <v>3911</v>
      </c>
      <c r="B3806">
        <v>5</v>
      </c>
      <c r="C3806">
        <v>1808</v>
      </c>
      <c r="D3806">
        <v>0</v>
      </c>
    </row>
    <row r="3807" spans="1:4" x14ac:dyDescent="0.35">
      <c r="A3807" t="s">
        <v>3912</v>
      </c>
      <c r="B3807">
        <v>200000</v>
      </c>
      <c r="C3807">
        <v>5210</v>
      </c>
      <c r="D3807">
        <v>0</v>
      </c>
    </row>
    <row r="3808" spans="1:4" x14ac:dyDescent="0.35">
      <c r="A3808" t="s">
        <v>3913</v>
      </c>
      <c r="B3808">
        <v>5345</v>
      </c>
      <c r="C3808">
        <v>5700</v>
      </c>
      <c r="D3808">
        <v>0</v>
      </c>
    </row>
    <row r="3809" spans="1:4" x14ac:dyDescent="0.35">
      <c r="A3809" t="s">
        <v>3914</v>
      </c>
      <c r="B3809">
        <v>11000</v>
      </c>
      <c r="C3809">
        <v>12763</v>
      </c>
      <c r="D3809">
        <v>0</v>
      </c>
    </row>
    <row r="3810" spans="1:4" x14ac:dyDescent="0.35">
      <c r="A3810" t="s">
        <v>54</v>
      </c>
      <c r="B3810">
        <v>18513</v>
      </c>
      <c r="C3810">
        <v>18000</v>
      </c>
      <c r="D3810">
        <v>1</v>
      </c>
    </row>
    <row r="3811" spans="1:4" x14ac:dyDescent="0.35">
      <c r="A3811" t="s">
        <v>60</v>
      </c>
      <c r="B3811">
        <v>26830</v>
      </c>
      <c r="C3811">
        <v>26830</v>
      </c>
      <c r="D3811">
        <v>2435</v>
      </c>
    </row>
    <row r="3812" spans="1:4" x14ac:dyDescent="0.35">
      <c r="A3812" t="s">
        <v>3915</v>
      </c>
      <c r="B3812">
        <v>757</v>
      </c>
      <c r="C3812">
        <v>754</v>
      </c>
      <c r="D3812">
        <v>4</v>
      </c>
    </row>
    <row r="3813" spans="1:4" x14ac:dyDescent="0.35">
      <c r="A3813" t="s">
        <v>3916</v>
      </c>
      <c r="B3813">
        <v>1590</v>
      </c>
      <c r="C3813">
        <v>1590</v>
      </c>
      <c r="D3813">
        <v>14</v>
      </c>
    </row>
    <row r="3814" spans="1:4" x14ac:dyDescent="0.35">
      <c r="A3814" t="s">
        <v>46</v>
      </c>
      <c r="B3814">
        <v>2230</v>
      </c>
      <c r="C3814">
        <v>2227</v>
      </c>
      <c r="D3814">
        <v>2843</v>
      </c>
    </row>
    <row r="3815" spans="1:4" x14ac:dyDescent="0.35">
      <c r="A3815" t="s">
        <v>84</v>
      </c>
      <c r="B3815">
        <v>2972</v>
      </c>
      <c r="C3815">
        <v>2888</v>
      </c>
      <c r="D3815">
        <v>12652</v>
      </c>
    </row>
    <row r="3816" spans="1:4" x14ac:dyDescent="0.35">
      <c r="A3816" t="s">
        <v>3917</v>
      </c>
      <c r="B3816">
        <v>3772</v>
      </c>
      <c r="C3816">
        <v>3676</v>
      </c>
      <c r="D3816">
        <v>261</v>
      </c>
    </row>
    <row r="3817" spans="1:4" x14ac:dyDescent="0.35">
      <c r="A3817" t="s">
        <v>3918</v>
      </c>
      <c r="B3817">
        <v>7840</v>
      </c>
      <c r="C3817">
        <v>7456</v>
      </c>
      <c r="D3817">
        <v>2054</v>
      </c>
    </row>
    <row r="3818" spans="1:4" x14ac:dyDescent="0.35">
      <c r="A3818" t="s">
        <v>31</v>
      </c>
      <c r="B3818">
        <v>12369</v>
      </c>
      <c r="C3818">
        <v>11900</v>
      </c>
      <c r="D3818">
        <v>2</v>
      </c>
    </row>
    <row r="3819" spans="1:4" x14ac:dyDescent="0.35">
      <c r="A3819" t="s">
        <v>37</v>
      </c>
      <c r="B3819">
        <v>15000</v>
      </c>
      <c r="C3819">
        <v>14810</v>
      </c>
      <c r="D3819">
        <v>15183</v>
      </c>
    </row>
    <row r="3820" spans="1:4" x14ac:dyDescent="0.35">
      <c r="A3820" t="s">
        <v>3919</v>
      </c>
      <c r="B3820">
        <v>702</v>
      </c>
      <c r="C3820">
        <v>750</v>
      </c>
      <c r="D3820">
        <v>0</v>
      </c>
    </row>
    <row r="3821" spans="1:4" x14ac:dyDescent="0.35">
      <c r="A3821" t="s">
        <v>3920</v>
      </c>
      <c r="B3821">
        <v>3302</v>
      </c>
      <c r="C3821">
        <v>3302</v>
      </c>
      <c r="D3821">
        <v>2</v>
      </c>
    </row>
    <row r="3822" spans="1:4" x14ac:dyDescent="0.35">
      <c r="A3822" t="s">
        <v>3921</v>
      </c>
      <c r="B3822">
        <v>945</v>
      </c>
      <c r="C3822">
        <v>878</v>
      </c>
      <c r="D3822">
        <v>13</v>
      </c>
    </row>
    <row r="3823" spans="1:4" x14ac:dyDescent="0.35">
      <c r="A3823" t="s">
        <v>3922</v>
      </c>
      <c r="B3823">
        <v>1628</v>
      </c>
      <c r="C3823">
        <v>1591</v>
      </c>
      <c r="D3823">
        <v>9</v>
      </c>
    </row>
    <row r="3824" spans="1:4" x14ac:dyDescent="0.35">
      <c r="A3824" t="s">
        <v>50</v>
      </c>
      <c r="B3824">
        <v>2737</v>
      </c>
      <c r="C3824">
        <v>2692</v>
      </c>
      <c r="D3824">
        <v>79</v>
      </c>
    </row>
    <row r="3825" spans="1:4" x14ac:dyDescent="0.35">
      <c r="A3825" t="s">
        <v>85</v>
      </c>
      <c r="B3825">
        <v>3798</v>
      </c>
      <c r="C3825">
        <v>3779</v>
      </c>
      <c r="D3825">
        <v>9072</v>
      </c>
    </row>
    <row r="3826" spans="1:4" x14ac:dyDescent="0.35">
      <c r="A3826" t="s">
        <v>3923</v>
      </c>
      <c r="B3826">
        <v>679</v>
      </c>
      <c r="C3826">
        <v>1359</v>
      </c>
      <c r="D3826">
        <v>0</v>
      </c>
    </row>
    <row r="3827" spans="1:4" x14ac:dyDescent="0.35">
      <c r="A3827" t="s">
        <v>3924</v>
      </c>
      <c r="B3827">
        <v>1900</v>
      </c>
      <c r="C3827">
        <v>507</v>
      </c>
      <c r="D3827">
        <v>0</v>
      </c>
    </row>
    <row r="3828" spans="1:4" x14ac:dyDescent="0.35">
      <c r="A3828" t="s">
        <v>3925</v>
      </c>
      <c r="B3828">
        <v>820</v>
      </c>
      <c r="C3828">
        <v>750</v>
      </c>
      <c r="D3828">
        <v>956</v>
      </c>
    </row>
    <row r="3829" spans="1:4" x14ac:dyDescent="0.35">
      <c r="A3829" t="s">
        <v>3926</v>
      </c>
      <c r="B3829">
        <v>1929</v>
      </c>
      <c r="C3829">
        <v>1781</v>
      </c>
      <c r="D3829">
        <v>1</v>
      </c>
    </row>
    <row r="3830" spans="1:4" x14ac:dyDescent="0.35">
      <c r="A3830" t="s">
        <v>97</v>
      </c>
      <c r="B3830">
        <v>2302</v>
      </c>
      <c r="C3830">
        <v>2364</v>
      </c>
      <c r="D3830">
        <v>8169</v>
      </c>
    </row>
    <row r="3831" spans="1:4" x14ac:dyDescent="0.35">
      <c r="A3831" t="s">
        <v>120</v>
      </c>
      <c r="B3831">
        <v>3184</v>
      </c>
      <c r="C3831">
        <v>3151</v>
      </c>
      <c r="D3831">
        <v>9190</v>
      </c>
    </row>
    <row r="3832" spans="1:4" x14ac:dyDescent="0.35">
      <c r="A3832" t="s">
        <v>3927</v>
      </c>
      <c r="B3832">
        <v>1211</v>
      </c>
      <c r="C3832">
        <v>750</v>
      </c>
      <c r="D3832">
        <v>0</v>
      </c>
    </row>
    <row r="3833" spans="1:4" x14ac:dyDescent="0.35">
      <c r="A3833" t="s">
        <v>3928</v>
      </c>
      <c r="B3833">
        <v>1900</v>
      </c>
      <c r="C3833">
        <v>100</v>
      </c>
      <c r="D3833">
        <v>0</v>
      </c>
    </row>
    <row r="3834" spans="1:4" x14ac:dyDescent="0.35">
      <c r="A3834" t="s">
        <v>3929</v>
      </c>
      <c r="B3834">
        <v>1210</v>
      </c>
      <c r="C3834">
        <v>1202</v>
      </c>
      <c r="D3834">
        <v>2</v>
      </c>
    </row>
    <row r="3835" spans="1:4" x14ac:dyDescent="0.35">
      <c r="A3835" t="s">
        <v>3930</v>
      </c>
      <c r="B3835">
        <v>2270</v>
      </c>
      <c r="C3835">
        <v>2270</v>
      </c>
      <c r="D3835">
        <v>16</v>
      </c>
    </row>
    <row r="3836" spans="1:4" x14ac:dyDescent="0.35">
      <c r="A3836" t="s">
        <v>3931</v>
      </c>
      <c r="B3836">
        <v>899</v>
      </c>
      <c r="C3836">
        <v>275</v>
      </c>
      <c r="D3836">
        <v>0</v>
      </c>
    </row>
    <row r="3837" spans="1:4" x14ac:dyDescent="0.35">
      <c r="A3837" t="s">
        <v>3932</v>
      </c>
      <c r="B3837">
        <v>1043</v>
      </c>
      <c r="C3837">
        <v>350</v>
      </c>
      <c r="D3837">
        <v>0</v>
      </c>
    </row>
    <row r="3838" spans="1:4" x14ac:dyDescent="0.35">
      <c r="A3838" t="s">
        <v>3933</v>
      </c>
      <c r="B3838">
        <v>600</v>
      </c>
      <c r="C3838">
        <v>500</v>
      </c>
      <c r="D3838">
        <v>0</v>
      </c>
    </row>
    <row r="3839" spans="1:4" x14ac:dyDescent="0.35">
      <c r="A3839" t="s">
        <v>3934</v>
      </c>
      <c r="B3839">
        <v>998</v>
      </c>
      <c r="C3839">
        <v>998</v>
      </c>
      <c r="D3839">
        <v>142</v>
      </c>
    </row>
    <row r="3840" spans="1:4" x14ac:dyDescent="0.35">
      <c r="A3840" t="s">
        <v>3935</v>
      </c>
      <c r="B3840">
        <v>1689</v>
      </c>
      <c r="C3840">
        <v>2100</v>
      </c>
      <c r="D3840">
        <v>0</v>
      </c>
    </row>
    <row r="3841" spans="1:4" x14ac:dyDescent="0.35">
      <c r="A3841" t="s">
        <v>3936</v>
      </c>
      <c r="B3841">
        <v>12846</v>
      </c>
      <c r="C3841">
        <v>11700</v>
      </c>
      <c r="D3841">
        <v>24</v>
      </c>
    </row>
    <row r="3842" spans="1:4" x14ac:dyDescent="0.35">
      <c r="A3842" t="s">
        <v>3937</v>
      </c>
      <c r="B3842">
        <v>2431</v>
      </c>
      <c r="C3842">
        <v>1114</v>
      </c>
      <c r="D3842">
        <v>2</v>
      </c>
    </row>
    <row r="3843" spans="1:4" x14ac:dyDescent="0.35">
      <c r="A3843" t="s">
        <v>3938</v>
      </c>
      <c r="B3843">
        <v>2268</v>
      </c>
      <c r="C3843">
        <v>2250</v>
      </c>
      <c r="D3843">
        <v>41</v>
      </c>
    </row>
    <row r="3844" spans="1:4" x14ac:dyDescent="0.35">
      <c r="A3844" t="s">
        <v>3939</v>
      </c>
      <c r="B3844">
        <v>2635</v>
      </c>
      <c r="C3844">
        <v>2560</v>
      </c>
      <c r="D3844">
        <v>3</v>
      </c>
    </row>
    <row r="3845" spans="1:4" x14ac:dyDescent="0.35">
      <c r="A3845" t="s">
        <v>3940</v>
      </c>
      <c r="B3845">
        <v>5181</v>
      </c>
      <c r="C3845">
        <v>5180</v>
      </c>
      <c r="D3845">
        <v>7</v>
      </c>
    </row>
    <row r="3846" spans="1:4" x14ac:dyDescent="0.35">
      <c r="A3846" t="s">
        <v>3941</v>
      </c>
      <c r="B3846">
        <v>7828</v>
      </c>
      <c r="C3846">
        <v>7828</v>
      </c>
      <c r="D3846">
        <v>5353</v>
      </c>
    </row>
    <row r="3847" spans="1:4" x14ac:dyDescent="0.35">
      <c r="A3847" t="s">
        <v>3942</v>
      </c>
      <c r="B3847">
        <v>10599</v>
      </c>
      <c r="C3847">
        <v>10450</v>
      </c>
      <c r="D3847">
        <v>34723</v>
      </c>
    </row>
    <row r="3848" spans="1:4" x14ac:dyDescent="0.35">
      <c r="A3848" t="s">
        <v>3943</v>
      </c>
      <c r="B3848">
        <v>760</v>
      </c>
      <c r="C3848">
        <v>24</v>
      </c>
      <c r="D3848">
        <v>0</v>
      </c>
    </row>
    <row r="3849" spans="1:4" x14ac:dyDescent="0.35">
      <c r="A3849" t="s">
        <v>3944</v>
      </c>
      <c r="B3849">
        <v>1206</v>
      </c>
      <c r="C3849">
        <v>1002</v>
      </c>
      <c r="D3849">
        <v>25</v>
      </c>
    </row>
    <row r="3850" spans="1:4" x14ac:dyDescent="0.35">
      <c r="A3850" t="s">
        <v>3945</v>
      </c>
      <c r="B3850">
        <v>965</v>
      </c>
      <c r="C3850">
        <v>950</v>
      </c>
      <c r="D3850">
        <v>6</v>
      </c>
    </row>
    <row r="3851" spans="1:4" x14ac:dyDescent="0.35">
      <c r="A3851" t="s">
        <v>3946</v>
      </c>
      <c r="B3851">
        <v>1900</v>
      </c>
      <c r="C3851">
        <v>1895</v>
      </c>
      <c r="D3851">
        <v>15</v>
      </c>
    </row>
    <row r="3852" spans="1:4" x14ac:dyDescent="0.35">
      <c r="A3852" t="s">
        <v>39</v>
      </c>
      <c r="B3852">
        <v>2890</v>
      </c>
      <c r="C3852">
        <v>2877</v>
      </c>
      <c r="D3852">
        <v>1199</v>
      </c>
    </row>
    <row r="3853" spans="1:4" x14ac:dyDescent="0.35">
      <c r="A3853" t="s">
        <v>52</v>
      </c>
      <c r="B3853">
        <v>4040</v>
      </c>
      <c r="C3853">
        <v>3966</v>
      </c>
      <c r="D3853">
        <v>9069</v>
      </c>
    </row>
    <row r="3854" spans="1:4" x14ac:dyDescent="0.35">
      <c r="A3854" t="s">
        <v>3947</v>
      </c>
      <c r="B3854">
        <v>683</v>
      </c>
      <c r="C3854">
        <v>351</v>
      </c>
      <c r="D3854">
        <v>2</v>
      </c>
    </row>
    <row r="3855" spans="1:4" x14ac:dyDescent="0.35">
      <c r="A3855" t="s">
        <v>3948</v>
      </c>
      <c r="B3855">
        <v>871</v>
      </c>
      <c r="C3855">
        <v>811</v>
      </c>
      <c r="D3855">
        <v>0</v>
      </c>
    </row>
    <row r="3856" spans="1:4" x14ac:dyDescent="0.35">
      <c r="A3856" t="s">
        <v>3949</v>
      </c>
      <c r="B3856">
        <v>1409</v>
      </c>
      <c r="C3856">
        <v>1409</v>
      </c>
      <c r="D3856">
        <v>3876</v>
      </c>
    </row>
    <row r="3857" spans="1:4" x14ac:dyDescent="0.35">
      <c r="A3857" t="s">
        <v>3950</v>
      </c>
      <c r="B3857">
        <v>2100</v>
      </c>
      <c r="C3857">
        <v>1908</v>
      </c>
      <c r="D3857">
        <v>549</v>
      </c>
    </row>
    <row r="3858" spans="1:4" x14ac:dyDescent="0.35">
      <c r="A3858" t="s">
        <v>3951</v>
      </c>
      <c r="B3858">
        <v>7000</v>
      </c>
      <c r="C3858">
        <v>750</v>
      </c>
      <c r="D3858">
        <v>1</v>
      </c>
    </row>
    <row r="3859" spans="1:4" x14ac:dyDescent="0.35">
      <c r="A3859" t="s">
        <v>3952</v>
      </c>
      <c r="B3859">
        <v>2000</v>
      </c>
      <c r="C3859">
        <v>2000</v>
      </c>
      <c r="D3859">
        <v>23</v>
      </c>
    </row>
    <row r="3860" spans="1:4" x14ac:dyDescent="0.35">
      <c r="A3860" t="s">
        <v>3953</v>
      </c>
      <c r="B3860">
        <v>60</v>
      </c>
      <c r="C3860">
        <v>59</v>
      </c>
      <c r="D3860">
        <v>20099</v>
      </c>
    </row>
    <row r="3861" spans="1:4" x14ac:dyDescent="0.35">
      <c r="A3861" t="s">
        <v>3954</v>
      </c>
      <c r="B3861">
        <v>24020</v>
      </c>
      <c r="C3861">
        <v>24031</v>
      </c>
      <c r="D3861">
        <v>17415</v>
      </c>
    </row>
    <row r="3862" spans="1:4" x14ac:dyDescent="0.35">
      <c r="A3862" t="s">
        <v>3955</v>
      </c>
      <c r="B3862">
        <v>160</v>
      </c>
      <c r="C3862">
        <v>150</v>
      </c>
      <c r="D3862">
        <v>58</v>
      </c>
    </row>
    <row r="3863" spans="1:4" x14ac:dyDescent="0.35">
      <c r="A3863" t="s">
        <v>3956</v>
      </c>
      <c r="B3863">
        <v>18</v>
      </c>
      <c r="C3863">
        <v>16</v>
      </c>
      <c r="D3863">
        <v>49332</v>
      </c>
    </row>
    <row r="3864" spans="1:4" x14ac:dyDescent="0.35">
      <c r="A3864" t="s">
        <v>3957</v>
      </c>
      <c r="B3864">
        <v>2</v>
      </c>
      <c r="C3864">
        <v>2</v>
      </c>
      <c r="D3864">
        <v>696349</v>
      </c>
    </row>
    <row r="3865" spans="1:4" x14ac:dyDescent="0.35">
      <c r="A3865" t="s">
        <v>3958</v>
      </c>
      <c r="B3865">
        <v>254</v>
      </c>
      <c r="C3865">
        <v>350</v>
      </c>
      <c r="D3865">
        <v>23</v>
      </c>
    </row>
    <row r="3866" spans="1:4" x14ac:dyDescent="0.35">
      <c r="A3866" t="s">
        <v>3959</v>
      </c>
      <c r="B3866">
        <v>437</v>
      </c>
      <c r="C3866">
        <v>420</v>
      </c>
      <c r="D3866">
        <v>0</v>
      </c>
    </row>
    <row r="3867" spans="1:4" x14ac:dyDescent="0.35">
      <c r="A3867" t="s">
        <v>3960</v>
      </c>
      <c r="B3867">
        <v>318000</v>
      </c>
      <c r="C3867">
        <v>277500</v>
      </c>
      <c r="D3867">
        <v>12</v>
      </c>
    </row>
    <row r="3868" spans="1:4" x14ac:dyDescent="0.35">
      <c r="A3868" t="s">
        <v>3961</v>
      </c>
      <c r="B3868">
        <v>86864</v>
      </c>
      <c r="C3868">
        <v>86864</v>
      </c>
      <c r="D3868">
        <v>20</v>
      </c>
    </row>
    <row r="3869" spans="1:4" x14ac:dyDescent="0.35">
      <c r="A3869" t="s">
        <v>3962</v>
      </c>
      <c r="B3869">
        <v>23700</v>
      </c>
      <c r="C3869">
        <v>21000</v>
      </c>
      <c r="D3869">
        <v>5</v>
      </c>
    </row>
    <row r="3870" spans="1:4" x14ac:dyDescent="0.35">
      <c r="A3870" t="s">
        <v>3963</v>
      </c>
      <c r="B3870">
        <v>17184</v>
      </c>
      <c r="C3870">
        <v>16537</v>
      </c>
      <c r="D3870">
        <v>1</v>
      </c>
    </row>
    <row r="3871" spans="1:4" x14ac:dyDescent="0.35">
      <c r="A3871" t="s">
        <v>3964</v>
      </c>
      <c r="B3871">
        <v>45340</v>
      </c>
      <c r="C3871">
        <v>42000</v>
      </c>
      <c r="D3871">
        <v>3</v>
      </c>
    </row>
    <row r="3872" spans="1:4" x14ac:dyDescent="0.35">
      <c r="A3872" t="s">
        <v>3965</v>
      </c>
      <c r="B3872">
        <v>75578</v>
      </c>
      <c r="C3872">
        <v>71000</v>
      </c>
      <c r="D3872">
        <v>15</v>
      </c>
    </row>
    <row r="3873" spans="1:4" x14ac:dyDescent="0.35">
      <c r="A3873" t="s">
        <v>3966</v>
      </c>
      <c r="B3873">
        <v>60</v>
      </c>
      <c r="C3873">
        <v>63</v>
      </c>
      <c r="D3873">
        <v>836</v>
      </c>
    </row>
    <row r="3874" spans="1:4" x14ac:dyDescent="0.35">
      <c r="A3874" t="s">
        <v>3967</v>
      </c>
      <c r="B3874">
        <v>364</v>
      </c>
      <c r="C3874">
        <v>383</v>
      </c>
      <c r="D3874">
        <v>0</v>
      </c>
    </row>
    <row r="3875" spans="1:4" x14ac:dyDescent="0.35">
      <c r="A3875" t="s">
        <v>3968</v>
      </c>
      <c r="B3875">
        <v>12</v>
      </c>
      <c r="C3875">
        <v>2</v>
      </c>
      <c r="D3875">
        <v>644</v>
      </c>
    </row>
    <row r="3876" spans="1:4" x14ac:dyDescent="0.35">
      <c r="A3876" t="s">
        <v>3969</v>
      </c>
      <c r="B3876">
        <v>726490</v>
      </c>
      <c r="C3876">
        <v>686577</v>
      </c>
      <c r="D3876">
        <v>44</v>
      </c>
    </row>
    <row r="3877" spans="1:4" x14ac:dyDescent="0.35">
      <c r="A3877" t="s">
        <v>3970</v>
      </c>
      <c r="B3877">
        <v>4250000</v>
      </c>
      <c r="C3877">
        <v>4065845</v>
      </c>
      <c r="D3877">
        <v>1</v>
      </c>
    </row>
    <row r="3878" spans="1:4" x14ac:dyDescent="0.35">
      <c r="A3878" t="s">
        <v>3971</v>
      </c>
      <c r="B3878">
        <v>206</v>
      </c>
      <c r="C3878">
        <v>197</v>
      </c>
      <c r="D3878">
        <v>26600</v>
      </c>
    </row>
    <row r="3879" spans="1:4" x14ac:dyDescent="0.35">
      <c r="A3879" t="s">
        <v>3972</v>
      </c>
      <c r="B3879">
        <v>49209</v>
      </c>
      <c r="C3879">
        <v>45000</v>
      </c>
      <c r="D3879">
        <v>0</v>
      </c>
    </row>
    <row r="3880" spans="1:4" x14ac:dyDescent="0.35">
      <c r="A3880" t="s">
        <v>3973</v>
      </c>
      <c r="B3880">
        <v>49404</v>
      </c>
      <c r="C3880">
        <v>47943</v>
      </c>
      <c r="D3880">
        <v>0</v>
      </c>
    </row>
    <row r="3881" spans="1:4" x14ac:dyDescent="0.35">
      <c r="A3881" t="s">
        <v>3974</v>
      </c>
      <c r="B3881">
        <v>57972</v>
      </c>
      <c r="C3881">
        <v>31000</v>
      </c>
      <c r="D3881">
        <v>0</v>
      </c>
    </row>
    <row r="3882" spans="1:4" x14ac:dyDescent="0.35">
      <c r="A3882" t="s">
        <v>3975</v>
      </c>
      <c r="B3882">
        <v>48122</v>
      </c>
      <c r="C3882">
        <v>48122</v>
      </c>
      <c r="D3882">
        <v>1</v>
      </c>
    </row>
    <row r="3883" spans="1:4" x14ac:dyDescent="0.35">
      <c r="A3883" t="s">
        <v>3976</v>
      </c>
      <c r="B3883">
        <v>136</v>
      </c>
      <c r="C3883">
        <v>90</v>
      </c>
      <c r="D3883">
        <v>0</v>
      </c>
    </row>
    <row r="3884" spans="1:4" x14ac:dyDescent="0.35">
      <c r="A3884" t="s">
        <v>3977</v>
      </c>
      <c r="B3884">
        <v>5400</v>
      </c>
      <c r="C3884">
        <v>5326</v>
      </c>
      <c r="D3884">
        <v>555</v>
      </c>
    </row>
    <row r="3885" spans="1:4" x14ac:dyDescent="0.35">
      <c r="A3885" t="s">
        <v>3978</v>
      </c>
      <c r="B3885">
        <v>114000</v>
      </c>
      <c r="C3885">
        <v>109173</v>
      </c>
      <c r="D3885">
        <v>12</v>
      </c>
    </row>
    <row r="3886" spans="1:4" x14ac:dyDescent="0.35">
      <c r="A3886" t="s">
        <v>3979</v>
      </c>
      <c r="B3886">
        <v>86000</v>
      </c>
      <c r="C3886">
        <v>54975</v>
      </c>
      <c r="D3886">
        <v>1</v>
      </c>
    </row>
    <row r="3887" spans="1:4" x14ac:dyDescent="0.35">
      <c r="A3887" t="s">
        <v>3980</v>
      </c>
      <c r="B3887">
        <v>5018</v>
      </c>
      <c r="C3887">
        <v>5000</v>
      </c>
      <c r="D3887">
        <v>5</v>
      </c>
    </row>
    <row r="3888" spans="1:4" x14ac:dyDescent="0.35">
      <c r="A3888" t="s">
        <v>3981</v>
      </c>
      <c r="B3888">
        <v>832</v>
      </c>
      <c r="C3888">
        <v>817</v>
      </c>
      <c r="D3888">
        <v>1</v>
      </c>
    </row>
    <row r="3889" spans="1:4" x14ac:dyDescent="0.35">
      <c r="A3889" t="s">
        <v>3982</v>
      </c>
      <c r="B3889">
        <v>10784607</v>
      </c>
      <c r="C3889">
        <v>10650000</v>
      </c>
      <c r="D3889">
        <v>0</v>
      </c>
    </row>
    <row r="3890" spans="1:4" x14ac:dyDescent="0.35">
      <c r="A3890" t="s">
        <v>3983</v>
      </c>
      <c r="B3890">
        <v>1919</v>
      </c>
      <c r="C3890">
        <v>1838</v>
      </c>
      <c r="D3890">
        <v>1201</v>
      </c>
    </row>
    <row r="3891" spans="1:4" x14ac:dyDescent="0.35">
      <c r="A3891" t="s">
        <v>3984</v>
      </c>
      <c r="B3891">
        <v>8819259</v>
      </c>
      <c r="C3891">
        <v>8366590</v>
      </c>
      <c r="D3891">
        <v>0</v>
      </c>
    </row>
    <row r="3892" spans="1:4" x14ac:dyDescent="0.35">
      <c r="A3892" t="s">
        <v>3985</v>
      </c>
      <c r="B3892">
        <v>213</v>
      </c>
      <c r="C3892">
        <v>202</v>
      </c>
      <c r="D3892">
        <v>8879</v>
      </c>
    </row>
    <row r="3893" spans="1:4" x14ac:dyDescent="0.35">
      <c r="A3893" t="s">
        <v>167</v>
      </c>
      <c r="B3893">
        <v>226</v>
      </c>
      <c r="C3893">
        <v>226</v>
      </c>
      <c r="D3893">
        <v>968</v>
      </c>
    </row>
    <row r="3894" spans="1:4" x14ac:dyDescent="0.35">
      <c r="A3894" t="s">
        <v>3986</v>
      </c>
      <c r="B3894">
        <v>10</v>
      </c>
      <c r="C3894">
        <v>14</v>
      </c>
      <c r="D3894">
        <v>324</v>
      </c>
    </row>
    <row r="3895" spans="1:4" x14ac:dyDescent="0.35">
      <c r="A3895" t="s">
        <v>3987</v>
      </c>
      <c r="B3895">
        <v>1</v>
      </c>
      <c r="C3895">
        <v>2</v>
      </c>
      <c r="D3895">
        <v>1000</v>
      </c>
    </row>
    <row r="3896" spans="1:4" x14ac:dyDescent="0.35">
      <c r="A3896" t="s">
        <v>3988</v>
      </c>
      <c r="B3896">
        <v>58</v>
      </c>
      <c r="C3896">
        <v>52</v>
      </c>
      <c r="D3896">
        <v>0</v>
      </c>
    </row>
    <row r="3897" spans="1:4" x14ac:dyDescent="0.35">
      <c r="A3897" t="s">
        <v>3989</v>
      </c>
      <c r="B3897">
        <v>40</v>
      </c>
      <c r="C3897">
        <v>40</v>
      </c>
      <c r="D3897">
        <v>10</v>
      </c>
    </row>
    <row r="3898" spans="1:4" x14ac:dyDescent="0.35">
      <c r="A3898" t="s">
        <v>3990</v>
      </c>
      <c r="B3898">
        <v>28</v>
      </c>
      <c r="C3898">
        <v>28</v>
      </c>
      <c r="D3898">
        <v>20</v>
      </c>
    </row>
    <row r="3899" spans="1:4" x14ac:dyDescent="0.35">
      <c r="A3899" t="s">
        <v>3991</v>
      </c>
      <c r="B3899">
        <v>129</v>
      </c>
      <c r="C3899">
        <v>129</v>
      </c>
      <c r="D3899">
        <v>30060</v>
      </c>
    </row>
    <row r="3900" spans="1:4" x14ac:dyDescent="0.35">
      <c r="A3900" t="s">
        <v>3992</v>
      </c>
      <c r="B3900">
        <v>1730019</v>
      </c>
      <c r="C3900">
        <v>1916917</v>
      </c>
      <c r="D3900">
        <v>0</v>
      </c>
    </row>
    <row r="3901" spans="1:4" x14ac:dyDescent="0.35">
      <c r="A3901" t="s">
        <v>3993</v>
      </c>
      <c r="B3901">
        <v>18</v>
      </c>
      <c r="C3901">
        <v>101</v>
      </c>
      <c r="D3901">
        <v>0</v>
      </c>
    </row>
    <row r="3902" spans="1:4" x14ac:dyDescent="0.35">
      <c r="A3902" t="s">
        <v>3994</v>
      </c>
      <c r="B3902">
        <v>200</v>
      </c>
      <c r="C3902">
        <v>10977</v>
      </c>
      <c r="D3902">
        <v>0</v>
      </c>
    </row>
    <row r="3903" spans="1:4" x14ac:dyDescent="0.35">
      <c r="A3903" t="s">
        <v>3995</v>
      </c>
      <c r="B3903">
        <v>2313</v>
      </c>
      <c r="C3903">
        <v>1000</v>
      </c>
      <c r="D3903">
        <v>0</v>
      </c>
    </row>
    <row r="3904" spans="1:4" x14ac:dyDescent="0.35">
      <c r="A3904" t="s">
        <v>3996</v>
      </c>
      <c r="B3904">
        <v>1393</v>
      </c>
      <c r="C3904">
        <v>1539</v>
      </c>
      <c r="D3904">
        <v>60</v>
      </c>
    </row>
    <row r="3905" spans="1:4" x14ac:dyDescent="0.35">
      <c r="A3905" t="s">
        <v>3997</v>
      </c>
      <c r="B3905">
        <v>60</v>
      </c>
      <c r="C3905">
        <v>10000</v>
      </c>
      <c r="D3905">
        <v>0</v>
      </c>
    </row>
    <row r="3906" spans="1:4" x14ac:dyDescent="0.35">
      <c r="A3906" t="s">
        <v>3998</v>
      </c>
      <c r="B3906">
        <v>249</v>
      </c>
      <c r="C3906">
        <v>2086</v>
      </c>
      <c r="D3906">
        <v>0</v>
      </c>
    </row>
    <row r="3907" spans="1:4" x14ac:dyDescent="0.35">
      <c r="A3907" t="s">
        <v>3999</v>
      </c>
      <c r="B3907">
        <v>1</v>
      </c>
      <c r="C3907">
        <v>2</v>
      </c>
      <c r="D3907">
        <v>0</v>
      </c>
    </row>
    <row r="3908" spans="1:4" x14ac:dyDescent="0.35">
      <c r="A3908" t="s">
        <v>4000</v>
      </c>
      <c r="B3908">
        <v>75</v>
      </c>
      <c r="C3908">
        <v>134</v>
      </c>
      <c r="D3908">
        <v>0</v>
      </c>
    </row>
    <row r="3909" spans="1:4" x14ac:dyDescent="0.35">
      <c r="A3909" t="s">
        <v>4001</v>
      </c>
      <c r="B3909">
        <v>143</v>
      </c>
      <c r="C3909">
        <v>173</v>
      </c>
      <c r="D3909">
        <v>0</v>
      </c>
    </row>
    <row r="3910" spans="1:4" x14ac:dyDescent="0.35">
      <c r="A3910" t="s">
        <v>4002</v>
      </c>
      <c r="B3910">
        <v>65000</v>
      </c>
      <c r="C3910">
        <v>13113</v>
      </c>
      <c r="D3910">
        <v>0</v>
      </c>
    </row>
    <row r="3911" spans="1:4" x14ac:dyDescent="0.35">
      <c r="A3911" t="s">
        <v>4003</v>
      </c>
      <c r="B3911">
        <v>716</v>
      </c>
      <c r="C3911">
        <v>716</v>
      </c>
      <c r="D3911">
        <v>350</v>
      </c>
    </row>
    <row r="3912" spans="1:4" x14ac:dyDescent="0.35">
      <c r="A3912" t="s">
        <v>4004</v>
      </c>
      <c r="B3912">
        <v>1</v>
      </c>
      <c r="C3912">
        <v>61</v>
      </c>
      <c r="D3912">
        <v>0</v>
      </c>
    </row>
    <row r="3913" spans="1:4" x14ac:dyDescent="0.35">
      <c r="A3913" t="s">
        <v>4005</v>
      </c>
      <c r="B3913">
        <v>126</v>
      </c>
      <c r="C3913">
        <v>126</v>
      </c>
      <c r="D3913">
        <v>37023</v>
      </c>
    </row>
    <row r="3914" spans="1:4" x14ac:dyDescent="0.35">
      <c r="A3914" t="s">
        <v>4006</v>
      </c>
      <c r="B3914">
        <v>294038</v>
      </c>
      <c r="C3914">
        <v>70</v>
      </c>
      <c r="D3914">
        <v>0</v>
      </c>
    </row>
    <row r="3915" spans="1:4" x14ac:dyDescent="0.35">
      <c r="A3915" t="s">
        <v>4007</v>
      </c>
      <c r="B3915">
        <v>835</v>
      </c>
      <c r="C3915">
        <v>826</v>
      </c>
      <c r="D3915">
        <v>26472</v>
      </c>
    </row>
    <row r="3916" spans="1:4" x14ac:dyDescent="0.35">
      <c r="A3916" t="s">
        <v>4008</v>
      </c>
      <c r="B3916">
        <v>3260</v>
      </c>
      <c r="C3916">
        <v>3264</v>
      </c>
      <c r="D3916">
        <v>0</v>
      </c>
    </row>
    <row r="3917" spans="1:4" x14ac:dyDescent="0.35">
      <c r="A3917" t="s">
        <v>4009</v>
      </c>
      <c r="B3917">
        <v>477</v>
      </c>
      <c r="C3917">
        <v>481</v>
      </c>
      <c r="D3917">
        <v>6642</v>
      </c>
    </row>
    <row r="3918" spans="1:4" x14ac:dyDescent="0.35">
      <c r="A3918" t="s">
        <v>4010</v>
      </c>
      <c r="B3918">
        <v>441</v>
      </c>
      <c r="C3918">
        <v>298</v>
      </c>
      <c r="D3918">
        <v>150</v>
      </c>
    </row>
    <row r="3919" spans="1:4" x14ac:dyDescent="0.35">
      <c r="A3919" t="s">
        <v>4011</v>
      </c>
      <c r="B3919">
        <v>67</v>
      </c>
      <c r="C3919">
        <v>69</v>
      </c>
      <c r="D3919">
        <v>107</v>
      </c>
    </row>
    <row r="3920" spans="1:4" x14ac:dyDescent="0.35">
      <c r="A3920" t="s">
        <v>4012</v>
      </c>
      <c r="B3920">
        <v>43</v>
      </c>
      <c r="C3920">
        <v>43</v>
      </c>
      <c r="D3920">
        <v>63</v>
      </c>
    </row>
    <row r="3921" spans="1:4" x14ac:dyDescent="0.35">
      <c r="A3921" t="s">
        <v>4013</v>
      </c>
      <c r="B3921">
        <v>1</v>
      </c>
      <c r="C3921">
        <v>5</v>
      </c>
      <c r="D3921">
        <v>0</v>
      </c>
    </row>
    <row r="3922" spans="1:4" x14ac:dyDescent="0.35">
      <c r="A3922" t="s">
        <v>4014</v>
      </c>
      <c r="B3922">
        <v>750</v>
      </c>
      <c r="C3922">
        <v>45</v>
      </c>
      <c r="D3922">
        <v>0</v>
      </c>
    </row>
    <row r="3923" spans="1:4" x14ac:dyDescent="0.35">
      <c r="A3923" t="s">
        <v>4015</v>
      </c>
      <c r="B3923">
        <v>97848</v>
      </c>
      <c r="C3923">
        <v>8349</v>
      </c>
      <c r="D3923">
        <v>0</v>
      </c>
    </row>
    <row r="3924" spans="1:4" x14ac:dyDescent="0.35">
      <c r="A3924" t="s">
        <v>4016</v>
      </c>
      <c r="B3924">
        <v>159</v>
      </c>
      <c r="C3924">
        <v>100000</v>
      </c>
      <c r="D3924">
        <v>0</v>
      </c>
    </row>
    <row r="3925" spans="1:4" x14ac:dyDescent="0.35">
      <c r="A3925" t="s">
        <v>4017</v>
      </c>
      <c r="B3925">
        <v>1476</v>
      </c>
      <c r="C3925">
        <v>800</v>
      </c>
      <c r="D3925">
        <v>3</v>
      </c>
    </row>
    <row r="3926" spans="1:4" x14ac:dyDescent="0.35">
      <c r="A3926" t="s">
        <v>4018</v>
      </c>
      <c r="B3926">
        <v>733</v>
      </c>
      <c r="C3926">
        <v>500</v>
      </c>
      <c r="D3926">
        <v>2</v>
      </c>
    </row>
    <row r="3927" spans="1:4" x14ac:dyDescent="0.35">
      <c r="A3927" t="s">
        <v>4019</v>
      </c>
      <c r="B3927">
        <v>800</v>
      </c>
      <c r="C3927">
        <v>125</v>
      </c>
      <c r="D3927">
        <v>10</v>
      </c>
    </row>
    <row r="3928" spans="1:4" x14ac:dyDescent="0.35">
      <c r="A3928" t="s">
        <v>4020</v>
      </c>
      <c r="B3928">
        <v>404</v>
      </c>
      <c r="C3928">
        <v>125</v>
      </c>
      <c r="D3928">
        <v>0</v>
      </c>
    </row>
    <row r="3929" spans="1:4" x14ac:dyDescent="0.35">
      <c r="A3929" t="s">
        <v>4021</v>
      </c>
      <c r="B3929">
        <v>183</v>
      </c>
      <c r="C3929">
        <v>125</v>
      </c>
      <c r="D3929">
        <v>0</v>
      </c>
    </row>
    <row r="3930" spans="1:4" x14ac:dyDescent="0.35">
      <c r="A3930" t="s">
        <v>4022</v>
      </c>
      <c r="B3930">
        <v>1652793</v>
      </c>
      <c r="C3930">
        <v>1565728</v>
      </c>
      <c r="D3930">
        <v>3</v>
      </c>
    </row>
    <row r="3931" spans="1:4" x14ac:dyDescent="0.35">
      <c r="A3931" t="s">
        <v>4023</v>
      </c>
      <c r="B3931">
        <v>1794484</v>
      </c>
      <c r="C3931">
        <v>1706710</v>
      </c>
      <c r="D3931">
        <v>1</v>
      </c>
    </row>
    <row r="3932" spans="1:4" x14ac:dyDescent="0.35">
      <c r="A3932" t="s">
        <v>4024</v>
      </c>
      <c r="B3932">
        <v>3454485</v>
      </c>
      <c r="C3932">
        <v>3287777</v>
      </c>
      <c r="D3932">
        <v>0</v>
      </c>
    </row>
    <row r="3933" spans="1:4" x14ac:dyDescent="0.35">
      <c r="A3933" t="s">
        <v>4025</v>
      </c>
      <c r="B3933">
        <v>1926</v>
      </c>
      <c r="C3933">
        <v>201</v>
      </c>
      <c r="D3933">
        <v>5</v>
      </c>
    </row>
    <row r="3934" spans="1:4" x14ac:dyDescent="0.35">
      <c r="A3934" t="s">
        <v>4026</v>
      </c>
      <c r="B3934">
        <v>307</v>
      </c>
      <c r="C3934">
        <v>54</v>
      </c>
      <c r="D3934">
        <v>0</v>
      </c>
    </row>
    <row r="3935" spans="1:4" x14ac:dyDescent="0.35">
      <c r="A3935" t="s">
        <v>4027</v>
      </c>
      <c r="B3935">
        <v>1500</v>
      </c>
      <c r="C3935">
        <v>51</v>
      </c>
      <c r="D3935">
        <v>2</v>
      </c>
    </row>
    <row r="3936" spans="1:4" x14ac:dyDescent="0.35">
      <c r="A3936" t="s">
        <v>4028</v>
      </c>
      <c r="B3936">
        <v>657</v>
      </c>
      <c r="C3936">
        <v>30</v>
      </c>
      <c r="D3936">
        <v>1</v>
      </c>
    </row>
    <row r="3937" spans="1:4" x14ac:dyDescent="0.35">
      <c r="A3937" t="s">
        <v>4029</v>
      </c>
      <c r="B3937">
        <v>2261</v>
      </c>
      <c r="C3937">
        <v>2095</v>
      </c>
      <c r="D3937">
        <v>1</v>
      </c>
    </row>
    <row r="3938" spans="1:4" x14ac:dyDescent="0.35">
      <c r="A3938" t="s">
        <v>4030</v>
      </c>
      <c r="B3938">
        <v>422</v>
      </c>
      <c r="C3938">
        <v>2</v>
      </c>
      <c r="D3938">
        <v>0</v>
      </c>
    </row>
    <row r="3939" spans="1:4" x14ac:dyDescent="0.35">
      <c r="A3939" t="s">
        <v>4031</v>
      </c>
      <c r="B3939">
        <v>1501</v>
      </c>
      <c r="C3939">
        <v>1007</v>
      </c>
      <c r="D3939">
        <v>1</v>
      </c>
    </row>
    <row r="3940" spans="1:4" x14ac:dyDescent="0.35">
      <c r="A3940" t="s">
        <v>4032</v>
      </c>
      <c r="B3940">
        <v>50</v>
      </c>
      <c r="C3940">
        <v>82</v>
      </c>
      <c r="D3940">
        <v>152</v>
      </c>
    </row>
    <row r="3941" spans="1:4" x14ac:dyDescent="0.35">
      <c r="A3941" t="s">
        <v>4033</v>
      </c>
      <c r="B3941">
        <v>1470</v>
      </c>
      <c r="C3941">
        <v>529</v>
      </c>
      <c r="D3941">
        <v>0</v>
      </c>
    </row>
    <row r="3942" spans="1:4" x14ac:dyDescent="0.35">
      <c r="A3942" t="s">
        <v>4034</v>
      </c>
      <c r="B3942">
        <v>3500</v>
      </c>
      <c r="C3942">
        <v>100</v>
      </c>
      <c r="D3942">
        <v>2</v>
      </c>
    </row>
    <row r="3943" spans="1:4" x14ac:dyDescent="0.35">
      <c r="A3943" t="s">
        <v>4035</v>
      </c>
      <c r="B3943">
        <v>1000</v>
      </c>
      <c r="C3943">
        <v>421</v>
      </c>
      <c r="D3943">
        <v>2</v>
      </c>
    </row>
    <row r="3944" spans="1:4" x14ac:dyDescent="0.35">
      <c r="A3944" t="s">
        <v>4036</v>
      </c>
      <c r="B3944">
        <v>395</v>
      </c>
      <c r="C3944">
        <v>10</v>
      </c>
      <c r="D3944">
        <v>0</v>
      </c>
    </row>
    <row r="3945" spans="1:4" x14ac:dyDescent="0.35">
      <c r="A3945" t="s">
        <v>4037</v>
      </c>
      <c r="B3945">
        <v>128</v>
      </c>
      <c r="C3945">
        <v>20</v>
      </c>
      <c r="D3945">
        <v>2</v>
      </c>
    </row>
    <row r="3946" spans="1:4" x14ac:dyDescent="0.35">
      <c r="A3946" t="s">
        <v>4038</v>
      </c>
      <c r="B3946">
        <v>1649</v>
      </c>
      <c r="C3946">
        <v>726</v>
      </c>
      <c r="D3946">
        <v>0</v>
      </c>
    </row>
    <row r="3947" spans="1:4" x14ac:dyDescent="0.35">
      <c r="A3947" t="s">
        <v>4039</v>
      </c>
      <c r="B3947">
        <v>100</v>
      </c>
      <c r="C3947">
        <v>50</v>
      </c>
      <c r="D3947">
        <v>0</v>
      </c>
    </row>
    <row r="3948" spans="1:4" x14ac:dyDescent="0.35">
      <c r="A3948" t="s">
        <v>4040</v>
      </c>
      <c r="B3948">
        <v>208</v>
      </c>
      <c r="C3948">
        <v>592</v>
      </c>
      <c r="D3948">
        <v>0</v>
      </c>
    </row>
    <row r="3949" spans="1:4" x14ac:dyDescent="0.35">
      <c r="A3949" t="s">
        <v>4041</v>
      </c>
      <c r="B3949">
        <v>904</v>
      </c>
      <c r="C3949">
        <v>1130</v>
      </c>
      <c r="D3949">
        <v>0</v>
      </c>
    </row>
    <row r="3950" spans="1:4" x14ac:dyDescent="0.35">
      <c r="A3950" t="s">
        <v>4042</v>
      </c>
      <c r="B3950">
        <v>698</v>
      </c>
      <c r="C3950">
        <v>52</v>
      </c>
      <c r="D3950">
        <v>0</v>
      </c>
    </row>
    <row r="3951" spans="1:4" x14ac:dyDescent="0.35">
      <c r="A3951" t="s">
        <v>4043</v>
      </c>
      <c r="B3951">
        <v>75</v>
      </c>
      <c r="C3951">
        <v>211</v>
      </c>
      <c r="D3951">
        <v>0</v>
      </c>
    </row>
    <row r="3952" spans="1:4" x14ac:dyDescent="0.35">
      <c r="A3952" t="s">
        <v>4044</v>
      </c>
      <c r="B3952">
        <v>2000</v>
      </c>
      <c r="C3952">
        <v>724</v>
      </c>
      <c r="D3952">
        <v>0</v>
      </c>
    </row>
    <row r="3953" spans="1:4" x14ac:dyDescent="0.35">
      <c r="A3953" t="s">
        <v>4045</v>
      </c>
      <c r="B3953">
        <v>392</v>
      </c>
      <c r="C3953">
        <v>60</v>
      </c>
      <c r="D3953">
        <v>0</v>
      </c>
    </row>
    <row r="3954" spans="1:4" x14ac:dyDescent="0.35">
      <c r="A3954" t="s">
        <v>4046</v>
      </c>
      <c r="B3954">
        <v>1499</v>
      </c>
      <c r="C3954">
        <v>196</v>
      </c>
      <c r="D3954">
        <v>0</v>
      </c>
    </row>
    <row r="3955" spans="1:4" x14ac:dyDescent="0.35">
      <c r="A3955" t="s">
        <v>4047</v>
      </c>
      <c r="B3955">
        <v>52</v>
      </c>
      <c r="C3955">
        <v>287</v>
      </c>
      <c r="D3955">
        <v>0</v>
      </c>
    </row>
    <row r="3956" spans="1:4" x14ac:dyDescent="0.35">
      <c r="A3956" t="s">
        <v>4048</v>
      </c>
      <c r="B3956">
        <v>100</v>
      </c>
      <c r="C3956">
        <v>10</v>
      </c>
      <c r="D3956">
        <v>0</v>
      </c>
    </row>
    <row r="3957" spans="1:4" x14ac:dyDescent="0.35">
      <c r="A3957" t="s">
        <v>4049</v>
      </c>
      <c r="B3957">
        <v>1721</v>
      </c>
      <c r="C3957">
        <v>683</v>
      </c>
      <c r="D3957">
        <v>0</v>
      </c>
    </row>
    <row r="3958" spans="1:4" x14ac:dyDescent="0.35">
      <c r="A3958" t="s">
        <v>4050</v>
      </c>
      <c r="B3958">
        <v>999</v>
      </c>
      <c r="C3958">
        <v>680</v>
      </c>
      <c r="D3958">
        <v>0</v>
      </c>
    </row>
    <row r="3959" spans="1:4" x14ac:dyDescent="0.35">
      <c r="A3959" t="s">
        <v>4051</v>
      </c>
      <c r="B3959">
        <v>437</v>
      </c>
      <c r="C3959">
        <v>375</v>
      </c>
      <c r="D3959">
        <v>0</v>
      </c>
    </row>
    <row r="3960" spans="1:4" x14ac:dyDescent="0.35">
      <c r="A3960" t="s">
        <v>4052</v>
      </c>
      <c r="B3960">
        <v>30</v>
      </c>
      <c r="C3960">
        <v>3000</v>
      </c>
      <c r="D3960">
        <v>0</v>
      </c>
    </row>
    <row r="3961" spans="1:4" x14ac:dyDescent="0.35">
      <c r="A3961" t="s">
        <v>4053</v>
      </c>
      <c r="B3961">
        <v>1146</v>
      </c>
      <c r="C3961">
        <v>1146</v>
      </c>
      <c r="D3961">
        <v>0</v>
      </c>
    </row>
    <row r="3962" spans="1:4" x14ac:dyDescent="0.35">
      <c r="A3962" t="s">
        <v>4054</v>
      </c>
      <c r="B3962">
        <v>93</v>
      </c>
      <c r="C3962">
        <v>85</v>
      </c>
      <c r="D3962">
        <v>14</v>
      </c>
    </row>
    <row r="3963" spans="1:4" x14ac:dyDescent="0.35">
      <c r="A3963" t="s">
        <v>4055</v>
      </c>
      <c r="B3963">
        <v>175</v>
      </c>
      <c r="C3963">
        <v>220</v>
      </c>
      <c r="D3963">
        <v>0</v>
      </c>
    </row>
    <row r="3964" spans="1:4" x14ac:dyDescent="0.35">
      <c r="A3964" t="s">
        <v>4056</v>
      </c>
      <c r="B3964">
        <v>603</v>
      </c>
      <c r="C3964">
        <v>526</v>
      </c>
      <c r="D3964">
        <v>63</v>
      </c>
    </row>
    <row r="3965" spans="1:4" x14ac:dyDescent="0.35">
      <c r="A3965" t="s">
        <v>4057</v>
      </c>
      <c r="B3965">
        <v>564</v>
      </c>
      <c r="C3965">
        <v>200</v>
      </c>
      <c r="D3965">
        <v>0</v>
      </c>
    </row>
    <row r="3966" spans="1:4" x14ac:dyDescent="0.35">
      <c r="A3966" t="s">
        <v>4058</v>
      </c>
      <c r="B3966">
        <v>886</v>
      </c>
      <c r="C3966">
        <v>683</v>
      </c>
      <c r="D3966">
        <v>0</v>
      </c>
    </row>
    <row r="3967" spans="1:4" x14ac:dyDescent="0.35">
      <c r="A3967" t="s">
        <v>4059</v>
      </c>
      <c r="B3967">
        <v>133</v>
      </c>
      <c r="C3967">
        <v>139</v>
      </c>
      <c r="D3967">
        <v>0</v>
      </c>
    </row>
    <row r="3968" spans="1:4" x14ac:dyDescent="0.35">
      <c r="A3968" t="s">
        <v>4060</v>
      </c>
      <c r="B3968">
        <v>1700</v>
      </c>
      <c r="C3968">
        <v>25</v>
      </c>
      <c r="D3968">
        <v>0</v>
      </c>
    </row>
    <row r="3969" spans="1:4" x14ac:dyDescent="0.35">
      <c r="A3969" t="s">
        <v>4061</v>
      </c>
      <c r="B3969">
        <v>491</v>
      </c>
      <c r="C3969">
        <v>3</v>
      </c>
      <c r="D3969">
        <v>0</v>
      </c>
    </row>
    <row r="3970" spans="1:4" x14ac:dyDescent="0.35">
      <c r="A3970" t="s">
        <v>4062</v>
      </c>
      <c r="B3970">
        <v>1495</v>
      </c>
      <c r="C3970">
        <v>100</v>
      </c>
      <c r="D3970">
        <v>1</v>
      </c>
    </row>
    <row r="3971" spans="1:4" x14ac:dyDescent="0.35">
      <c r="A3971" t="s">
        <v>4063</v>
      </c>
      <c r="B3971">
        <v>2776</v>
      </c>
      <c r="C3971">
        <v>821</v>
      </c>
      <c r="D3971">
        <v>1</v>
      </c>
    </row>
    <row r="3972" spans="1:4" x14ac:dyDescent="0.35">
      <c r="A3972" t="s">
        <v>4064</v>
      </c>
      <c r="B3972">
        <v>1796</v>
      </c>
      <c r="C3972">
        <v>1765</v>
      </c>
      <c r="D3972">
        <v>6</v>
      </c>
    </row>
    <row r="3973" spans="1:4" x14ac:dyDescent="0.35">
      <c r="A3973" t="s">
        <v>4065</v>
      </c>
      <c r="B3973">
        <v>494</v>
      </c>
      <c r="C3973">
        <v>72</v>
      </c>
      <c r="D3973">
        <v>1</v>
      </c>
    </row>
    <row r="3974" spans="1:4" x14ac:dyDescent="0.35">
      <c r="A3974" t="s">
        <v>4066</v>
      </c>
      <c r="B3974">
        <v>500</v>
      </c>
      <c r="C3974">
        <v>300</v>
      </c>
      <c r="D3974">
        <v>1</v>
      </c>
    </row>
    <row r="3975" spans="1:4" x14ac:dyDescent="0.35">
      <c r="A3975" t="s">
        <v>4067</v>
      </c>
      <c r="B3975">
        <v>164</v>
      </c>
      <c r="C3975">
        <v>513</v>
      </c>
      <c r="D3975">
        <v>2</v>
      </c>
    </row>
    <row r="3976" spans="1:4" x14ac:dyDescent="0.35">
      <c r="A3976" t="s">
        <v>4068</v>
      </c>
      <c r="B3976">
        <v>383</v>
      </c>
      <c r="C3976">
        <v>383</v>
      </c>
      <c r="D3976">
        <v>2</v>
      </c>
    </row>
    <row r="3977" spans="1:4" x14ac:dyDescent="0.35">
      <c r="A3977" t="s">
        <v>4069</v>
      </c>
      <c r="B3977">
        <v>1007</v>
      </c>
      <c r="C3977">
        <v>926</v>
      </c>
      <c r="D3977">
        <v>0</v>
      </c>
    </row>
    <row r="3978" spans="1:4" x14ac:dyDescent="0.35">
      <c r="A3978" t="s">
        <v>4070</v>
      </c>
      <c r="B3978">
        <v>199</v>
      </c>
      <c r="C3978">
        <v>242</v>
      </c>
      <c r="D3978">
        <v>2</v>
      </c>
    </row>
    <row r="3979" spans="1:4" x14ac:dyDescent="0.35">
      <c r="A3979" t="s">
        <v>4071</v>
      </c>
      <c r="B3979">
        <v>136</v>
      </c>
      <c r="C3979">
        <v>100</v>
      </c>
      <c r="D3979">
        <v>1</v>
      </c>
    </row>
    <row r="3980" spans="1:4" x14ac:dyDescent="0.35">
      <c r="A3980" t="s">
        <v>4072</v>
      </c>
      <c r="B3980">
        <v>899</v>
      </c>
      <c r="C3980">
        <v>463</v>
      </c>
      <c r="D3980">
        <v>1</v>
      </c>
    </row>
    <row r="3981" spans="1:4" x14ac:dyDescent="0.35">
      <c r="A3981" t="s">
        <v>4073</v>
      </c>
      <c r="B3981">
        <v>437</v>
      </c>
      <c r="C3981">
        <v>50</v>
      </c>
      <c r="D3981">
        <v>0</v>
      </c>
    </row>
    <row r="3982" spans="1:4" x14ac:dyDescent="0.35">
      <c r="A3982" t="s">
        <v>4074</v>
      </c>
      <c r="B3982">
        <v>950</v>
      </c>
      <c r="C3982">
        <v>50</v>
      </c>
      <c r="D3982">
        <v>0</v>
      </c>
    </row>
    <row r="3983" spans="1:4" x14ac:dyDescent="0.35">
      <c r="A3983" t="s">
        <v>4075</v>
      </c>
      <c r="B3983">
        <v>98</v>
      </c>
      <c r="C3983">
        <v>50</v>
      </c>
      <c r="D3983">
        <v>11</v>
      </c>
    </row>
    <row r="3984" spans="1:4" x14ac:dyDescent="0.35">
      <c r="A3984" t="s">
        <v>4076</v>
      </c>
      <c r="B3984">
        <v>391566</v>
      </c>
      <c r="C3984">
        <v>370735</v>
      </c>
      <c r="D3984">
        <v>5</v>
      </c>
    </row>
    <row r="3985" spans="1:4" x14ac:dyDescent="0.35">
      <c r="A3985" t="s">
        <v>4077</v>
      </c>
      <c r="B3985">
        <v>48073</v>
      </c>
      <c r="C3985">
        <v>45000</v>
      </c>
      <c r="D3985">
        <v>12</v>
      </c>
    </row>
    <row r="3986" spans="1:4" x14ac:dyDescent="0.35">
      <c r="A3986" t="s">
        <v>4078</v>
      </c>
      <c r="B3986">
        <v>198</v>
      </c>
      <c r="C3986">
        <v>249</v>
      </c>
      <c r="D3986">
        <v>1</v>
      </c>
    </row>
    <row r="3987" spans="1:4" x14ac:dyDescent="0.35">
      <c r="A3987" t="s">
        <v>4079</v>
      </c>
      <c r="B3987">
        <v>800</v>
      </c>
      <c r="C3987">
        <v>865</v>
      </c>
      <c r="D3987">
        <v>12</v>
      </c>
    </row>
    <row r="3988" spans="1:4" x14ac:dyDescent="0.35">
      <c r="A3988" t="s">
        <v>4080</v>
      </c>
      <c r="B3988">
        <v>749</v>
      </c>
      <c r="C3988">
        <v>736</v>
      </c>
      <c r="D3988">
        <v>15130</v>
      </c>
    </row>
    <row r="3989" spans="1:4" x14ac:dyDescent="0.35">
      <c r="A3989" t="s">
        <v>4081</v>
      </c>
      <c r="B3989">
        <v>4929989</v>
      </c>
      <c r="C3989">
        <v>4590000</v>
      </c>
      <c r="D3989">
        <v>1</v>
      </c>
    </row>
    <row r="3990" spans="1:4" x14ac:dyDescent="0.35">
      <c r="A3990" t="s">
        <v>4082</v>
      </c>
      <c r="B3990">
        <v>4698525</v>
      </c>
      <c r="C3990">
        <v>4614094</v>
      </c>
      <c r="D3990">
        <v>4</v>
      </c>
    </row>
    <row r="3991" spans="1:4" x14ac:dyDescent="0.35">
      <c r="A3991" t="s">
        <v>4083</v>
      </c>
      <c r="B3991">
        <v>529</v>
      </c>
      <c r="C3991">
        <v>500</v>
      </c>
      <c r="D3991">
        <v>18</v>
      </c>
    </row>
    <row r="3992" spans="1:4" x14ac:dyDescent="0.35">
      <c r="A3992" t="s">
        <v>4084</v>
      </c>
      <c r="B3992">
        <v>300</v>
      </c>
      <c r="C3992">
        <v>250</v>
      </c>
      <c r="D3992">
        <v>6</v>
      </c>
    </row>
    <row r="3993" spans="1:4" x14ac:dyDescent="0.35">
      <c r="A3993" t="s">
        <v>4085</v>
      </c>
      <c r="B3993">
        <v>30000</v>
      </c>
      <c r="C3993">
        <v>282</v>
      </c>
      <c r="D3993">
        <v>0</v>
      </c>
    </row>
    <row r="3994" spans="1:4" x14ac:dyDescent="0.35">
      <c r="A3994" t="s">
        <v>4086</v>
      </c>
      <c r="B3994">
        <v>0</v>
      </c>
      <c r="C3994">
        <v>0</v>
      </c>
      <c r="D3994">
        <v>0</v>
      </c>
    </row>
    <row r="3995" spans="1:4" x14ac:dyDescent="0.35">
      <c r="A3995" t="s">
        <v>4087</v>
      </c>
      <c r="B3995">
        <v>13999</v>
      </c>
      <c r="C3995">
        <v>9500</v>
      </c>
      <c r="D3995">
        <v>1</v>
      </c>
    </row>
    <row r="3996" spans="1:4" x14ac:dyDescent="0.35">
      <c r="A3996" t="s">
        <v>4088</v>
      </c>
      <c r="B3996">
        <v>300</v>
      </c>
      <c r="C3996">
        <v>42</v>
      </c>
      <c r="D3996">
        <v>45</v>
      </c>
    </row>
    <row r="3997" spans="1:4" x14ac:dyDescent="0.35">
      <c r="A3997" t="s">
        <v>4089</v>
      </c>
      <c r="B3997">
        <v>3000</v>
      </c>
      <c r="C3997">
        <v>452</v>
      </c>
      <c r="D3997">
        <v>9</v>
      </c>
    </row>
    <row r="3998" spans="1:4" x14ac:dyDescent="0.35">
      <c r="A3998" t="s">
        <v>4090</v>
      </c>
      <c r="B3998">
        <v>5377</v>
      </c>
      <c r="C3998">
        <v>1863</v>
      </c>
      <c r="D3998">
        <v>0</v>
      </c>
    </row>
    <row r="3999" spans="1:4" x14ac:dyDescent="0.35">
      <c r="A3999" t="s">
        <v>4091</v>
      </c>
      <c r="B3999">
        <v>8</v>
      </c>
      <c r="C3999">
        <v>8</v>
      </c>
      <c r="D3999">
        <v>31658</v>
      </c>
    </row>
    <row r="4000" spans="1:4" x14ac:dyDescent="0.35">
      <c r="A4000" t="s">
        <v>4092</v>
      </c>
      <c r="B4000">
        <v>0</v>
      </c>
      <c r="C4000">
        <v>0</v>
      </c>
      <c r="D4000">
        <v>0</v>
      </c>
    </row>
    <row r="4001" spans="1:4" x14ac:dyDescent="0.35">
      <c r="A4001" t="s">
        <v>4093</v>
      </c>
      <c r="B4001">
        <v>86</v>
      </c>
      <c r="C4001">
        <v>68</v>
      </c>
      <c r="D4001">
        <v>9123</v>
      </c>
    </row>
    <row r="4002" spans="1:4" x14ac:dyDescent="0.35">
      <c r="A4002" t="s">
        <v>4094</v>
      </c>
      <c r="B4002">
        <v>900</v>
      </c>
      <c r="C4002">
        <v>455</v>
      </c>
      <c r="D4002">
        <v>6</v>
      </c>
    </row>
    <row r="4003" spans="1:4" x14ac:dyDescent="0.35">
      <c r="A4003" t="s">
        <v>4095</v>
      </c>
      <c r="B4003">
        <v>526</v>
      </c>
      <c r="C4003">
        <v>15</v>
      </c>
      <c r="D4003">
        <v>0</v>
      </c>
    </row>
    <row r="4004" spans="1:4" x14ac:dyDescent="0.35">
      <c r="A4004" t="s">
        <v>4096</v>
      </c>
      <c r="B4004">
        <v>13</v>
      </c>
      <c r="C4004">
        <v>13</v>
      </c>
      <c r="D4004">
        <v>397</v>
      </c>
    </row>
    <row r="4005" spans="1:4" x14ac:dyDescent="0.35">
      <c r="A4005" t="s">
        <v>4097</v>
      </c>
      <c r="B4005">
        <v>86</v>
      </c>
      <c r="C4005">
        <v>81</v>
      </c>
      <c r="D4005">
        <v>239</v>
      </c>
    </row>
    <row r="4006" spans="1:4" x14ac:dyDescent="0.35">
      <c r="A4006" t="s">
        <v>4098</v>
      </c>
      <c r="B4006">
        <v>1436</v>
      </c>
      <c r="C4006">
        <v>1400</v>
      </c>
      <c r="D4006">
        <v>1</v>
      </c>
    </row>
    <row r="4007" spans="1:4" x14ac:dyDescent="0.35">
      <c r="A4007" t="s">
        <v>4099</v>
      </c>
      <c r="B4007">
        <v>4800</v>
      </c>
      <c r="C4007">
        <v>4900</v>
      </c>
      <c r="D4007">
        <v>11</v>
      </c>
    </row>
    <row r="4008" spans="1:4" x14ac:dyDescent="0.35">
      <c r="A4008" t="s">
        <v>162</v>
      </c>
      <c r="B4008">
        <v>460</v>
      </c>
      <c r="C4008">
        <v>351</v>
      </c>
      <c r="D4008">
        <v>265</v>
      </c>
    </row>
    <row r="4009" spans="1:4" x14ac:dyDescent="0.35">
      <c r="A4009" t="s">
        <v>177</v>
      </c>
      <c r="B4009">
        <v>2875</v>
      </c>
      <c r="C4009">
        <v>2812</v>
      </c>
      <c r="D4009">
        <v>14078</v>
      </c>
    </row>
    <row r="4010" spans="1:4" x14ac:dyDescent="0.35">
      <c r="A4010" t="s">
        <v>125</v>
      </c>
      <c r="B4010">
        <v>3249</v>
      </c>
      <c r="C4010">
        <v>3210</v>
      </c>
      <c r="D4010">
        <v>40566</v>
      </c>
    </row>
    <row r="4011" spans="1:4" x14ac:dyDescent="0.35">
      <c r="A4011" t="s">
        <v>4100</v>
      </c>
      <c r="B4011">
        <v>643</v>
      </c>
      <c r="C4011">
        <v>601</v>
      </c>
      <c r="D4011">
        <v>1320</v>
      </c>
    </row>
    <row r="4012" spans="1:4" x14ac:dyDescent="0.35">
      <c r="A4012" t="s">
        <v>4101</v>
      </c>
      <c r="B4012">
        <v>401048</v>
      </c>
      <c r="C4012">
        <v>387936</v>
      </c>
      <c r="D4012">
        <v>21</v>
      </c>
    </row>
    <row r="4013" spans="1:4" x14ac:dyDescent="0.35">
      <c r="A4013" t="s">
        <v>4102</v>
      </c>
      <c r="B4013">
        <v>485709</v>
      </c>
      <c r="C4013">
        <v>440799</v>
      </c>
      <c r="D4013">
        <v>0</v>
      </c>
    </row>
    <row r="4014" spans="1:4" x14ac:dyDescent="0.35">
      <c r="A4014" t="s">
        <v>4103</v>
      </c>
      <c r="B4014">
        <v>435995</v>
      </c>
      <c r="C4014">
        <v>416683</v>
      </c>
      <c r="D4014">
        <v>17</v>
      </c>
    </row>
    <row r="4015" spans="1:4" x14ac:dyDescent="0.35">
      <c r="A4015" t="s">
        <v>4104</v>
      </c>
      <c r="B4015">
        <v>69999</v>
      </c>
      <c r="C4015">
        <v>56999</v>
      </c>
      <c r="D4015">
        <v>1</v>
      </c>
    </row>
    <row r="4016" spans="1:4" x14ac:dyDescent="0.35">
      <c r="A4016" t="s">
        <v>4105</v>
      </c>
      <c r="B4016">
        <v>2408</v>
      </c>
      <c r="C4016">
        <v>1864</v>
      </c>
      <c r="D4016">
        <v>61</v>
      </c>
    </row>
    <row r="4017" spans="1:4" x14ac:dyDescent="0.35">
      <c r="A4017" t="s">
        <v>4106</v>
      </c>
      <c r="B4017">
        <v>23</v>
      </c>
      <c r="C4017">
        <v>20</v>
      </c>
      <c r="D4017">
        <v>2308</v>
      </c>
    </row>
    <row r="4018" spans="1:4" x14ac:dyDescent="0.35">
      <c r="A4018" t="s">
        <v>4107</v>
      </c>
      <c r="B4018">
        <v>3</v>
      </c>
      <c r="C4018">
        <v>1</v>
      </c>
      <c r="D4018">
        <v>2206</v>
      </c>
    </row>
    <row r="4019" spans="1:4" x14ac:dyDescent="0.35">
      <c r="A4019" t="s">
        <v>4108</v>
      </c>
      <c r="B4019">
        <v>400</v>
      </c>
      <c r="C4019">
        <v>304</v>
      </c>
      <c r="D4019">
        <v>421</v>
      </c>
    </row>
    <row r="4020" spans="1:4" x14ac:dyDescent="0.35">
      <c r="A4020" t="s">
        <v>4109</v>
      </c>
      <c r="B4020">
        <v>497888</v>
      </c>
      <c r="C4020">
        <v>459186</v>
      </c>
      <c r="D4020">
        <v>18</v>
      </c>
    </row>
    <row r="4021" spans="1:4" x14ac:dyDescent="0.35">
      <c r="A4021" t="s">
        <v>4110</v>
      </c>
      <c r="B4021">
        <v>1027878</v>
      </c>
      <c r="C4021">
        <v>1009170</v>
      </c>
      <c r="D4021">
        <v>65</v>
      </c>
    </row>
    <row r="4022" spans="1:4" x14ac:dyDescent="0.35">
      <c r="A4022" t="s">
        <v>4111</v>
      </c>
      <c r="B4022">
        <v>445739</v>
      </c>
      <c r="C4022">
        <v>400000</v>
      </c>
      <c r="D4022">
        <v>21</v>
      </c>
    </row>
    <row r="4023" spans="1:4" x14ac:dyDescent="0.35">
      <c r="A4023" t="s">
        <v>4112</v>
      </c>
      <c r="B4023">
        <v>49520304</v>
      </c>
      <c r="C4023">
        <v>49500000</v>
      </c>
      <c r="D4023">
        <v>8</v>
      </c>
    </row>
    <row r="4024" spans="1:4" x14ac:dyDescent="0.35">
      <c r="A4024" t="s">
        <v>4113</v>
      </c>
      <c r="B4024">
        <v>650</v>
      </c>
      <c r="C4024">
        <v>303</v>
      </c>
      <c r="D4024">
        <v>0</v>
      </c>
    </row>
    <row r="4025" spans="1:4" x14ac:dyDescent="0.35">
      <c r="A4025" t="s">
        <v>4114</v>
      </c>
      <c r="B4025">
        <v>11700</v>
      </c>
      <c r="C4025">
        <v>11111</v>
      </c>
      <c r="D4025">
        <v>288</v>
      </c>
    </row>
    <row r="4026" spans="1:4" x14ac:dyDescent="0.35">
      <c r="A4026" t="s">
        <v>4115</v>
      </c>
      <c r="B4026">
        <v>108157</v>
      </c>
      <c r="C4026">
        <v>106510</v>
      </c>
      <c r="D4026">
        <v>0</v>
      </c>
    </row>
    <row r="4027" spans="1:4" x14ac:dyDescent="0.35">
      <c r="A4027" t="s">
        <v>4116</v>
      </c>
      <c r="B4027">
        <v>142676</v>
      </c>
      <c r="C4027">
        <v>105003</v>
      </c>
      <c r="D4027">
        <v>1</v>
      </c>
    </row>
    <row r="4028" spans="1:4" x14ac:dyDescent="0.35">
      <c r="A4028" t="s">
        <v>4117</v>
      </c>
      <c r="B4028">
        <v>3642</v>
      </c>
      <c r="C4028">
        <v>3451</v>
      </c>
      <c r="D4028">
        <v>13</v>
      </c>
    </row>
    <row r="4029" spans="1:4" x14ac:dyDescent="0.35">
      <c r="A4029" t="s">
        <v>4118</v>
      </c>
      <c r="B4029">
        <v>3471</v>
      </c>
      <c r="C4029">
        <v>3363</v>
      </c>
      <c r="D4029">
        <v>493</v>
      </c>
    </row>
    <row r="4030" spans="1:4" x14ac:dyDescent="0.35">
      <c r="A4030" t="s">
        <v>4119</v>
      </c>
      <c r="B4030">
        <v>74</v>
      </c>
      <c r="C4030">
        <v>76</v>
      </c>
      <c r="D4030">
        <v>15616</v>
      </c>
    </row>
    <row r="4031" spans="1:4" x14ac:dyDescent="0.35">
      <c r="A4031" t="s">
        <v>4120</v>
      </c>
      <c r="B4031">
        <v>156</v>
      </c>
      <c r="C4031">
        <v>156</v>
      </c>
      <c r="D4031">
        <v>2600</v>
      </c>
    </row>
    <row r="4032" spans="1:4" x14ac:dyDescent="0.35">
      <c r="A4032" t="s">
        <v>4121</v>
      </c>
      <c r="B4032">
        <v>5</v>
      </c>
      <c r="C4032">
        <v>7</v>
      </c>
      <c r="D4032">
        <v>2</v>
      </c>
    </row>
    <row r="4033" spans="1:4" x14ac:dyDescent="0.35">
      <c r="A4033" t="s">
        <v>4122</v>
      </c>
      <c r="B4033">
        <v>3919</v>
      </c>
      <c r="C4033">
        <v>3919</v>
      </c>
      <c r="D4033">
        <v>42</v>
      </c>
    </row>
    <row r="4034" spans="1:4" x14ac:dyDescent="0.35">
      <c r="A4034" t="s">
        <v>4123</v>
      </c>
      <c r="B4034">
        <v>3800</v>
      </c>
      <c r="C4034">
        <v>2350</v>
      </c>
      <c r="D4034">
        <v>0</v>
      </c>
    </row>
    <row r="4035" spans="1:4" x14ac:dyDescent="0.35">
      <c r="A4035" t="s">
        <v>4124</v>
      </c>
      <c r="B4035">
        <v>2968</v>
      </c>
      <c r="C4035">
        <v>2310</v>
      </c>
      <c r="D4035">
        <v>0</v>
      </c>
    </row>
    <row r="4036" spans="1:4" x14ac:dyDescent="0.35">
      <c r="A4036" t="s">
        <v>4125</v>
      </c>
      <c r="B4036">
        <v>3675</v>
      </c>
      <c r="C4036">
        <v>1555</v>
      </c>
      <c r="D4036">
        <v>0</v>
      </c>
    </row>
    <row r="4037" spans="1:4" x14ac:dyDescent="0.35">
      <c r="A4037" t="s">
        <v>4126</v>
      </c>
      <c r="B4037">
        <v>4346</v>
      </c>
      <c r="C4037">
        <v>3744</v>
      </c>
      <c r="D4037">
        <v>312</v>
      </c>
    </row>
    <row r="4038" spans="1:4" x14ac:dyDescent="0.35">
      <c r="A4038" t="s">
        <v>4127</v>
      </c>
      <c r="B4038">
        <v>25000</v>
      </c>
      <c r="C4038">
        <v>7412</v>
      </c>
      <c r="D4038">
        <v>1</v>
      </c>
    </row>
    <row r="4039" spans="1:4" x14ac:dyDescent="0.35">
      <c r="A4039" t="s">
        <v>4128</v>
      </c>
      <c r="B4039">
        <v>939995</v>
      </c>
      <c r="C4039">
        <v>876043</v>
      </c>
      <c r="D4039">
        <v>10</v>
      </c>
    </row>
    <row r="4040" spans="1:4" x14ac:dyDescent="0.35">
      <c r="A4040" t="s">
        <v>4129</v>
      </c>
      <c r="B4040">
        <v>95999</v>
      </c>
      <c r="C4040">
        <v>95000</v>
      </c>
      <c r="D4040">
        <v>6</v>
      </c>
    </row>
    <row r="4041" spans="1:4" x14ac:dyDescent="0.35">
      <c r="A4041" t="s">
        <v>4130</v>
      </c>
      <c r="B4041">
        <v>95508</v>
      </c>
      <c r="C4041">
        <v>95254</v>
      </c>
      <c r="D4041">
        <v>0</v>
      </c>
    </row>
    <row r="4042" spans="1:4" x14ac:dyDescent="0.35">
      <c r="A4042" t="s">
        <v>4131</v>
      </c>
      <c r="B4042">
        <v>94057</v>
      </c>
      <c r="C4042">
        <v>90000</v>
      </c>
      <c r="D4042">
        <v>74</v>
      </c>
    </row>
    <row r="4043" spans="1:4" x14ac:dyDescent="0.35">
      <c r="A4043" t="s">
        <v>4132</v>
      </c>
      <c r="B4043">
        <v>75107</v>
      </c>
      <c r="C4043">
        <v>76002</v>
      </c>
      <c r="D4043">
        <v>5</v>
      </c>
    </row>
    <row r="4044" spans="1:4" x14ac:dyDescent="0.35">
      <c r="A4044" t="s">
        <v>4133</v>
      </c>
      <c r="B4044">
        <v>343516</v>
      </c>
      <c r="C4044">
        <v>327680</v>
      </c>
      <c r="D4044">
        <v>27</v>
      </c>
    </row>
    <row r="4045" spans="1:4" x14ac:dyDescent="0.35">
      <c r="A4045" t="s">
        <v>4134</v>
      </c>
      <c r="B4045">
        <v>248998</v>
      </c>
      <c r="C4045">
        <v>247839</v>
      </c>
      <c r="D4045">
        <v>12</v>
      </c>
    </row>
    <row r="4046" spans="1:4" x14ac:dyDescent="0.35">
      <c r="A4046" t="s">
        <v>4135</v>
      </c>
      <c r="B4046">
        <v>319876</v>
      </c>
      <c r="C4046">
        <v>320559</v>
      </c>
      <c r="D4046">
        <v>21</v>
      </c>
    </row>
    <row r="4047" spans="1:4" x14ac:dyDescent="0.35">
      <c r="A4047" t="s">
        <v>4136</v>
      </c>
      <c r="B4047">
        <v>263348</v>
      </c>
      <c r="C4047">
        <v>264000</v>
      </c>
      <c r="D4047">
        <v>7</v>
      </c>
    </row>
    <row r="4048" spans="1:4" x14ac:dyDescent="0.35">
      <c r="A4048" t="s">
        <v>4137</v>
      </c>
      <c r="B4048">
        <v>21451151</v>
      </c>
      <c r="C4048">
        <v>21451155</v>
      </c>
      <c r="D4048">
        <v>46</v>
      </c>
    </row>
    <row r="4049" spans="1:4" x14ac:dyDescent="0.35">
      <c r="A4049" t="s">
        <v>4138</v>
      </c>
      <c r="B4049">
        <v>70000</v>
      </c>
      <c r="C4049">
        <v>43425</v>
      </c>
      <c r="D4049">
        <v>6</v>
      </c>
    </row>
    <row r="4050" spans="1:4" x14ac:dyDescent="0.35">
      <c r="A4050" t="s">
        <v>4139</v>
      </c>
      <c r="B4050">
        <v>38800000</v>
      </c>
      <c r="C4050">
        <v>38639323</v>
      </c>
      <c r="D4050">
        <v>61</v>
      </c>
    </row>
    <row r="4051" spans="1:4" x14ac:dyDescent="0.35">
      <c r="A4051" t="s">
        <v>4140</v>
      </c>
      <c r="B4051">
        <v>48700</v>
      </c>
      <c r="C4051">
        <v>47215</v>
      </c>
      <c r="D4051">
        <v>26</v>
      </c>
    </row>
    <row r="4052" spans="1:4" x14ac:dyDescent="0.35">
      <c r="A4052" t="s">
        <v>86</v>
      </c>
      <c r="B4052">
        <v>3938</v>
      </c>
      <c r="C4052">
        <v>3922</v>
      </c>
      <c r="D4052">
        <v>15406</v>
      </c>
    </row>
    <row r="4053" spans="1:4" x14ac:dyDescent="0.35">
      <c r="A4053" t="s">
        <v>152</v>
      </c>
      <c r="B4053">
        <v>4095</v>
      </c>
      <c r="C4053">
        <v>4095</v>
      </c>
      <c r="D4053">
        <v>4673</v>
      </c>
    </row>
    <row r="4054" spans="1:4" x14ac:dyDescent="0.35">
      <c r="A4054" t="s">
        <v>4141</v>
      </c>
      <c r="B4054">
        <v>14017</v>
      </c>
      <c r="C4054">
        <v>14017</v>
      </c>
      <c r="D4054">
        <v>1243</v>
      </c>
    </row>
    <row r="4055" spans="1:4" x14ac:dyDescent="0.35">
      <c r="A4055" t="s">
        <v>4142</v>
      </c>
      <c r="B4055">
        <v>10000</v>
      </c>
      <c r="C4055">
        <v>3000</v>
      </c>
      <c r="D4055">
        <v>2</v>
      </c>
    </row>
    <row r="4056" spans="1:4" x14ac:dyDescent="0.35">
      <c r="A4056" t="s">
        <v>4143</v>
      </c>
      <c r="B4056">
        <v>103244</v>
      </c>
      <c r="C4056">
        <v>111000</v>
      </c>
      <c r="D4056">
        <v>6</v>
      </c>
    </row>
    <row r="4057" spans="1:4" x14ac:dyDescent="0.35">
      <c r="A4057" t="s">
        <v>4144</v>
      </c>
      <c r="B4057">
        <v>620055000</v>
      </c>
      <c r="C4057">
        <v>610224638</v>
      </c>
      <c r="D4057">
        <v>0</v>
      </c>
    </row>
    <row r="4058" spans="1:4" x14ac:dyDescent="0.35">
      <c r="A4058" t="s">
        <v>4145</v>
      </c>
      <c r="B4058">
        <v>251309781</v>
      </c>
      <c r="C4058">
        <v>245802991</v>
      </c>
      <c r="D4058">
        <v>4</v>
      </c>
    </row>
    <row r="4059" spans="1:4" x14ac:dyDescent="0.35">
      <c r="A4059" t="s">
        <v>4146</v>
      </c>
      <c r="B4059">
        <v>235000000</v>
      </c>
      <c r="C4059">
        <v>235256455</v>
      </c>
      <c r="D4059">
        <v>1</v>
      </c>
    </row>
    <row r="4060" spans="1:4" x14ac:dyDescent="0.35">
      <c r="A4060" t="s">
        <v>4147</v>
      </c>
      <c r="B4060">
        <v>213408620</v>
      </c>
      <c r="C4060">
        <v>208790858</v>
      </c>
      <c r="D4060">
        <v>7</v>
      </c>
    </row>
    <row r="4061" spans="1:4" x14ac:dyDescent="0.35">
      <c r="A4061" t="s">
        <v>4148</v>
      </c>
      <c r="B4061">
        <v>190000000</v>
      </c>
      <c r="C4061">
        <v>188533211</v>
      </c>
      <c r="D4061">
        <v>0</v>
      </c>
    </row>
    <row r="4062" spans="1:4" x14ac:dyDescent="0.35">
      <c r="A4062" t="s">
        <v>4149</v>
      </c>
      <c r="B4062">
        <v>159090000</v>
      </c>
      <c r="C4062">
        <v>156180884</v>
      </c>
      <c r="D4062">
        <v>3</v>
      </c>
    </row>
    <row r="4063" spans="1:4" x14ac:dyDescent="0.35">
      <c r="A4063" t="s">
        <v>4150</v>
      </c>
      <c r="B4063">
        <v>135500000</v>
      </c>
      <c r="C4063">
        <v>134289000</v>
      </c>
      <c r="D4063">
        <v>0</v>
      </c>
    </row>
    <row r="4064" spans="1:4" x14ac:dyDescent="0.35">
      <c r="A4064" t="s">
        <v>4151</v>
      </c>
      <c r="B4064">
        <v>10746655</v>
      </c>
      <c r="C4064">
        <v>10500000</v>
      </c>
      <c r="D4064">
        <v>83</v>
      </c>
    </row>
    <row r="4065" spans="1:4" x14ac:dyDescent="0.35">
      <c r="A4065" t="s">
        <v>4152</v>
      </c>
      <c r="B4065">
        <v>11424000</v>
      </c>
      <c r="C4065">
        <v>11400000</v>
      </c>
      <c r="D4065">
        <v>17</v>
      </c>
    </row>
    <row r="4066" spans="1:4" x14ac:dyDescent="0.35">
      <c r="A4066" t="s">
        <v>4153</v>
      </c>
      <c r="B4066">
        <v>6908</v>
      </c>
      <c r="C4066">
        <v>5553</v>
      </c>
      <c r="D4066">
        <v>39</v>
      </c>
    </row>
    <row r="4067" spans="1:4" x14ac:dyDescent="0.35">
      <c r="A4067" t="s">
        <v>4154</v>
      </c>
      <c r="B4067">
        <v>9997</v>
      </c>
      <c r="C4067">
        <v>7491</v>
      </c>
      <c r="D4067">
        <v>1</v>
      </c>
    </row>
    <row r="4068" spans="1:4" x14ac:dyDescent="0.35">
      <c r="A4068" t="s">
        <v>4155</v>
      </c>
      <c r="B4068">
        <v>8111</v>
      </c>
      <c r="C4068">
        <v>623</v>
      </c>
      <c r="D4068">
        <v>0</v>
      </c>
    </row>
    <row r="4069" spans="1:4" x14ac:dyDescent="0.35">
      <c r="A4069" t="s">
        <v>4156</v>
      </c>
      <c r="B4069">
        <v>8878</v>
      </c>
      <c r="C4069">
        <v>3071</v>
      </c>
      <c r="D4069">
        <v>0</v>
      </c>
    </row>
    <row r="4070" spans="1:4" x14ac:dyDescent="0.35">
      <c r="A4070" t="s">
        <v>4157</v>
      </c>
      <c r="B4070">
        <v>4998</v>
      </c>
      <c r="C4070">
        <v>4000</v>
      </c>
      <c r="D4070">
        <v>1</v>
      </c>
    </row>
    <row r="4071" spans="1:4" x14ac:dyDescent="0.35">
      <c r="A4071" t="s">
        <v>4158</v>
      </c>
      <c r="B4071">
        <v>3138</v>
      </c>
      <c r="C4071">
        <v>3017</v>
      </c>
      <c r="D4071">
        <v>0</v>
      </c>
    </row>
    <row r="4072" spans="1:4" x14ac:dyDescent="0.35">
      <c r="A4072" t="s">
        <v>4159</v>
      </c>
      <c r="B4072">
        <v>4432</v>
      </c>
      <c r="C4072">
        <v>1000</v>
      </c>
      <c r="D4072">
        <v>0</v>
      </c>
    </row>
    <row r="4073" spans="1:4" x14ac:dyDescent="0.35">
      <c r="A4073" t="s">
        <v>4160</v>
      </c>
      <c r="B4073">
        <v>7</v>
      </c>
      <c r="C4073">
        <v>7</v>
      </c>
      <c r="D4073">
        <v>17420</v>
      </c>
    </row>
    <row r="4074" spans="1:4" x14ac:dyDescent="0.35">
      <c r="A4074" t="s">
        <v>4161</v>
      </c>
      <c r="B4074">
        <v>700000</v>
      </c>
      <c r="C4074">
        <v>176844</v>
      </c>
      <c r="D4074">
        <v>0</v>
      </c>
    </row>
    <row r="4075" spans="1:4" x14ac:dyDescent="0.35">
      <c r="A4075" t="s">
        <v>4162</v>
      </c>
      <c r="B4075">
        <v>1000000</v>
      </c>
      <c r="C4075">
        <v>140000</v>
      </c>
      <c r="D4075">
        <v>0</v>
      </c>
    </row>
    <row r="4076" spans="1:4" x14ac:dyDescent="0.35">
      <c r="A4076" t="s">
        <v>4163</v>
      </c>
      <c r="B4076">
        <v>569420</v>
      </c>
      <c r="C4076">
        <v>225555</v>
      </c>
      <c r="D4076">
        <v>0</v>
      </c>
    </row>
    <row r="4077" spans="1:4" x14ac:dyDescent="0.35">
      <c r="A4077" t="s">
        <v>4164</v>
      </c>
      <c r="B4077">
        <v>1800000</v>
      </c>
      <c r="C4077">
        <v>1199999</v>
      </c>
      <c r="D4077">
        <v>0</v>
      </c>
    </row>
    <row r="4078" spans="1:4" x14ac:dyDescent="0.35">
      <c r="A4078" t="s">
        <v>4165</v>
      </c>
      <c r="B4078">
        <v>4799000</v>
      </c>
      <c r="C4078">
        <v>3810000</v>
      </c>
      <c r="D4078">
        <v>0</v>
      </c>
    </row>
    <row r="4079" spans="1:4" x14ac:dyDescent="0.35">
      <c r="A4079" t="s">
        <v>4166</v>
      </c>
      <c r="B4079">
        <v>3489000</v>
      </c>
      <c r="C4079">
        <v>2712002</v>
      </c>
      <c r="D4079">
        <v>0</v>
      </c>
    </row>
    <row r="4080" spans="1:4" x14ac:dyDescent="0.35">
      <c r="A4080" t="s">
        <v>4167</v>
      </c>
      <c r="B4080">
        <v>580938</v>
      </c>
      <c r="C4080">
        <v>523030</v>
      </c>
      <c r="D4080">
        <v>1</v>
      </c>
    </row>
    <row r="4081" spans="1:4" x14ac:dyDescent="0.35">
      <c r="A4081" t="s">
        <v>4168</v>
      </c>
      <c r="B4081">
        <v>997000</v>
      </c>
      <c r="C4081">
        <v>35121</v>
      </c>
      <c r="D4081">
        <v>0</v>
      </c>
    </row>
    <row r="4082" spans="1:4" x14ac:dyDescent="0.35">
      <c r="A4082" t="s">
        <v>4169</v>
      </c>
      <c r="B4082">
        <v>3000000</v>
      </c>
      <c r="C4082">
        <v>164222</v>
      </c>
      <c r="D4082">
        <v>0</v>
      </c>
    </row>
    <row r="4083" spans="1:4" x14ac:dyDescent="0.35">
      <c r="A4083" t="s">
        <v>4170</v>
      </c>
      <c r="B4083">
        <v>22043072</v>
      </c>
      <c r="C4083">
        <v>1310000</v>
      </c>
      <c r="D4083">
        <v>0</v>
      </c>
    </row>
    <row r="4084" spans="1:4" x14ac:dyDescent="0.35">
      <c r="A4084" t="s">
        <v>4171</v>
      </c>
      <c r="B4084">
        <v>1500000</v>
      </c>
      <c r="C4084">
        <v>1500000</v>
      </c>
      <c r="D4084">
        <v>0</v>
      </c>
    </row>
    <row r="4085" spans="1:4" x14ac:dyDescent="0.35">
      <c r="A4085" t="s">
        <v>4172</v>
      </c>
      <c r="B4085">
        <v>2700000</v>
      </c>
      <c r="C4085">
        <v>1357092</v>
      </c>
      <c r="D4085">
        <v>0</v>
      </c>
    </row>
    <row r="4086" spans="1:4" x14ac:dyDescent="0.35">
      <c r="A4086" t="s">
        <v>4173</v>
      </c>
      <c r="B4086">
        <v>7000000</v>
      </c>
      <c r="C4086">
        <v>6400000</v>
      </c>
      <c r="D4086">
        <v>0</v>
      </c>
    </row>
    <row r="4087" spans="1:4" x14ac:dyDescent="0.35">
      <c r="A4087" t="s">
        <v>4174</v>
      </c>
      <c r="B4087">
        <v>800000</v>
      </c>
      <c r="C4087">
        <v>800000</v>
      </c>
      <c r="D4087">
        <v>1</v>
      </c>
    </row>
    <row r="4088" spans="1:4" x14ac:dyDescent="0.35">
      <c r="A4088" t="s">
        <v>4175</v>
      </c>
      <c r="B4088">
        <v>400000</v>
      </c>
      <c r="C4088">
        <v>205047</v>
      </c>
      <c r="D4088">
        <v>0</v>
      </c>
    </row>
    <row r="4089" spans="1:4" x14ac:dyDescent="0.35">
      <c r="A4089" t="s">
        <v>4176</v>
      </c>
      <c r="B4089">
        <v>4401888</v>
      </c>
      <c r="C4089">
        <v>4208696</v>
      </c>
      <c r="D4089">
        <v>3</v>
      </c>
    </row>
    <row r="4090" spans="1:4" x14ac:dyDescent="0.35">
      <c r="A4090" t="s">
        <v>4177</v>
      </c>
      <c r="B4090">
        <v>40000</v>
      </c>
      <c r="C4090">
        <v>36000</v>
      </c>
      <c r="D4090">
        <v>0</v>
      </c>
    </row>
    <row r="4091" spans="1:4" x14ac:dyDescent="0.35">
      <c r="A4091" t="s">
        <v>4178</v>
      </c>
      <c r="B4091">
        <v>195515</v>
      </c>
      <c r="C4091">
        <v>81000</v>
      </c>
      <c r="D4091">
        <v>0</v>
      </c>
    </row>
    <row r="4092" spans="1:4" x14ac:dyDescent="0.35">
      <c r="A4092" t="s">
        <v>4179</v>
      </c>
      <c r="B4092">
        <v>317674</v>
      </c>
      <c r="C4092">
        <v>299000</v>
      </c>
      <c r="D4092">
        <v>0</v>
      </c>
    </row>
    <row r="4093" spans="1:4" x14ac:dyDescent="0.35">
      <c r="A4093" t="s">
        <v>4180</v>
      </c>
      <c r="B4093">
        <v>6466849</v>
      </c>
      <c r="C4093">
        <v>6145679</v>
      </c>
      <c r="D4093">
        <v>5</v>
      </c>
    </row>
    <row r="4094" spans="1:4" x14ac:dyDescent="0.35">
      <c r="A4094" t="s">
        <v>4181</v>
      </c>
      <c r="B4094">
        <v>1911900</v>
      </c>
      <c r="C4094">
        <v>1643337</v>
      </c>
      <c r="D4094">
        <v>1</v>
      </c>
    </row>
    <row r="4095" spans="1:4" x14ac:dyDescent="0.35">
      <c r="A4095" t="s">
        <v>4182</v>
      </c>
      <c r="B4095">
        <v>95057</v>
      </c>
      <c r="C4095">
        <v>85000</v>
      </c>
      <c r="D4095">
        <v>0</v>
      </c>
    </row>
    <row r="4096" spans="1:4" x14ac:dyDescent="0.35">
      <c r="A4096" t="s">
        <v>4183</v>
      </c>
      <c r="B4096">
        <v>2000000</v>
      </c>
      <c r="C4096">
        <v>600001</v>
      </c>
      <c r="D4096">
        <v>0</v>
      </c>
    </row>
    <row r="4097" spans="1:4" x14ac:dyDescent="0.35">
      <c r="A4097" t="s">
        <v>4184</v>
      </c>
      <c r="B4097">
        <v>2000000</v>
      </c>
      <c r="C4097">
        <v>702000</v>
      </c>
      <c r="D4097">
        <v>0</v>
      </c>
    </row>
    <row r="4098" spans="1:4" x14ac:dyDescent="0.35">
      <c r="A4098" t="s">
        <v>4185</v>
      </c>
      <c r="B4098">
        <v>429475</v>
      </c>
      <c r="C4098">
        <v>358432</v>
      </c>
      <c r="D4098">
        <v>0</v>
      </c>
    </row>
    <row r="4099" spans="1:4" x14ac:dyDescent="0.35">
      <c r="A4099" t="s">
        <v>4186</v>
      </c>
      <c r="B4099">
        <v>5999996</v>
      </c>
      <c r="C4099">
        <v>5956326</v>
      </c>
      <c r="D4099">
        <v>2</v>
      </c>
    </row>
    <row r="4100" spans="1:4" x14ac:dyDescent="0.35">
      <c r="A4100" t="s">
        <v>4187</v>
      </c>
      <c r="B4100">
        <v>204227</v>
      </c>
      <c r="C4100">
        <v>50000</v>
      </c>
      <c r="D4100">
        <v>0</v>
      </c>
    </row>
    <row r="4101" spans="1:4" x14ac:dyDescent="0.35">
      <c r="A4101" t="s">
        <v>4188</v>
      </c>
      <c r="B4101">
        <v>2899000</v>
      </c>
      <c r="C4101">
        <v>1811000</v>
      </c>
      <c r="D4101">
        <v>0</v>
      </c>
    </row>
    <row r="4102" spans="1:4" x14ac:dyDescent="0.35">
      <c r="A4102" t="s">
        <v>4189</v>
      </c>
      <c r="B4102">
        <v>9199000</v>
      </c>
      <c r="C4102">
        <v>8150000</v>
      </c>
      <c r="D4102">
        <v>0</v>
      </c>
    </row>
    <row r="4103" spans="1:4" x14ac:dyDescent="0.35">
      <c r="A4103" t="s">
        <v>4190</v>
      </c>
      <c r="B4103">
        <v>41662</v>
      </c>
      <c r="C4103">
        <v>150</v>
      </c>
      <c r="D4103">
        <v>0</v>
      </c>
    </row>
    <row r="4104" spans="1:4" x14ac:dyDescent="0.35">
      <c r="A4104" t="s">
        <v>4191</v>
      </c>
      <c r="B4104">
        <v>855040</v>
      </c>
      <c r="C4104">
        <v>325000</v>
      </c>
      <c r="D4104">
        <v>0</v>
      </c>
    </row>
    <row r="4105" spans="1:4" x14ac:dyDescent="0.35">
      <c r="A4105" t="s">
        <v>4192</v>
      </c>
      <c r="B4105">
        <v>2775552</v>
      </c>
      <c r="C4105">
        <v>1500000</v>
      </c>
      <c r="D4105">
        <v>0</v>
      </c>
    </row>
    <row r="4106" spans="1:4" x14ac:dyDescent="0.35">
      <c r="A4106" t="s">
        <v>4193</v>
      </c>
      <c r="B4106">
        <v>4924676</v>
      </c>
      <c r="C4106">
        <v>4089228</v>
      </c>
      <c r="D4106">
        <v>0</v>
      </c>
    </row>
    <row r="4107" spans="1:4" x14ac:dyDescent="0.35">
      <c r="A4107" t="s">
        <v>4194</v>
      </c>
      <c r="B4107">
        <v>141615</v>
      </c>
      <c r="C4107">
        <v>113501</v>
      </c>
      <c r="D4107">
        <v>0</v>
      </c>
    </row>
    <row r="4108" spans="1:4" x14ac:dyDescent="0.35">
      <c r="A4108" t="s">
        <v>4195</v>
      </c>
      <c r="B4108">
        <v>420067</v>
      </c>
      <c r="C4108">
        <v>197521</v>
      </c>
      <c r="D4108">
        <v>0</v>
      </c>
    </row>
    <row r="4109" spans="1:4" x14ac:dyDescent="0.35">
      <c r="A4109" t="s">
        <v>4196</v>
      </c>
      <c r="B4109">
        <v>10000000</v>
      </c>
      <c r="C4109">
        <v>1600000</v>
      </c>
      <c r="D4109">
        <v>0</v>
      </c>
    </row>
    <row r="4110" spans="1:4" x14ac:dyDescent="0.35">
      <c r="A4110" t="s">
        <v>4197</v>
      </c>
      <c r="B4110">
        <v>4166986</v>
      </c>
      <c r="C4110">
        <v>4100000</v>
      </c>
      <c r="D4110">
        <v>0</v>
      </c>
    </row>
    <row r="4111" spans="1:4" x14ac:dyDescent="0.35">
      <c r="A4111" t="s">
        <v>4198</v>
      </c>
      <c r="B4111">
        <v>3000000</v>
      </c>
      <c r="C4111">
        <v>2755001</v>
      </c>
      <c r="D4111">
        <v>0</v>
      </c>
    </row>
    <row r="4112" spans="1:4" x14ac:dyDescent="0.35">
      <c r="A4112" t="s">
        <v>4199</v>
      </c>
      <c r="B4112">
        <v>929874</v>
      </c>
      <c r="C4112">
        <v>351222</v>
      </c>
      <c r="D4112">
        <v>0</v>
      </c>
    </row>
    <row r="4113" spans="1:4" x14ac:dyDescent="0.35">
      <c r="A4113" t="s">
        <v>4200</v>
      </c>
      <c r="B4113">
        <v>952949</v>
      </c>
      <c r="C4113">
        <v>852723</v>
      </c>
      <c r="D4113">
        <v>3</v>
      </c>
    </row>
    <row r="4114" spans="1:4" x14ac:dyDescent="0.35">
      <c r="A4114" t="s">
        <v>4201</v>
      </c>
      <c r="B4114">
        <v>45000</v>
      </c>
      <c r="C4114">
        <v>112333</v>
      </c>
      <c r="D4114">
        <v>0</v>
      </c>
    </row>
    <row r="4115" spans="1:4" x14ac:dyDescent="0.35">
      <c r="A4115" t="s">
        <v>4202</v>
      </c>
      <c r="B4115">
        <v>924995</v>
      </c>
      <c r="C4115">
        <v>169000</v>
      </c>
      <c r="D4115">
        <v>0</v>
      </c>
    </row>
    <row r="4116" spans="1:4" x14ac:dyDescent="0.35">
      <c r="A4116" t="s">
        <v>4203</v>
      </c>
      <c r="B4116">
        <v>1492668</v>
      </c>
      <c r="C4116">
        <v>1501150</v>
      </c>
      <c r="D4116">
        <v>0</v>
      </c>
    </row>
    <row r="4117" spans="1:4" x14ac:dyDescent="0.35">
      <c r="A4117" t="s">
        <v>4204</v>
      </c>
      <c r="B4117">
        <v>801125</v>
      </c>
      <c r="C4117">
        <v>22858</v>
      </c>
      <c r="D4117">
        <v>0</v>
      </c>
    </row>
    <row r="4118" spans="1:4" x14ac:dyDescent="0.35">
      <c r="A4118" t="s">
        <v>4205</v>
      </c>
      <c r="B4118">
        <v>299999</v>
      </c>
      <c r="C4118">
        <v>155959</v>
      </c>
      <c r="D4118">
        <v>0</v>
      </c>
    </row>
    <row r="4119" spans="1:4" x14ac:dyDescent="0.35">
      <c r="A4119" t="s">
        <v>4206</v>
      </c>
      <c r="B4119">
        <v>2999000</v>
      </c>
      <c r="C4119">
        <v>1629013</v>
      </c>
      <c r="D4119">
        <v>0</v>
      </c>
    </row>
    <row r="4120" spans="1:4" x14ac:dyDescent="0.35">
      <c r="A4120" t="s">
        <v>4207</v>
      </c>
      <c r="B4120">
        <v>500</v>
      </c>
      <c r="C4120">
        <v>174</v>
      </c>
      <c r="D4120">
        <v>0</v>
      </c>
    </row>
    <row r="4121" spans="1:4" x14ac:dyDescent="0.35">
      <c r="A4121" t="s">
        <v>4208</v>
      </c>
      <c r="B4121">
        <v>111546</v>
      </c>
      <c r="C4121">
        <v>90000</v>
      </c>
      <c r="D4121">
        <v>4</v>
      </c>
    </row>
    <row r="4122" spans="1:4" x14ac:dyDescent="0.35">
      <c r="A4122" t="s">
        <v>4209</v>
      </c>
      <c r="B4122">
        <v>555</v>
      </c>
      <c r="C4122">
        <v>703</v>
      </c>
      <c r="D4122">
        <v>7028</v>
      </c>
    </row>
    <row r="4123" spans="1:4" x14ac:dyDescent="0.35">
      <c r="A4123" t="s">
        <v>4210</v>
      </c>
      <c r="B4123">
        <v>899</v>
      </c>
      <c r="C4123">
        <v>500</v>
      </c>
      <c r="D4123">
        <v>1</v>
      </c>
    </row>
    <row r="4124" spans="1:4" x14ac:dyDescent="0.35">
      <c r="A4124" t="s">
        <v>4211</v>
      </c>
      <c r="B4124">
        <v>665</v>
      </c>
      <c r="C4124">
        <v>500</v>
      </c>
      <c r="D4124">
        <v>0</v>
      </c>
    </row>
    <row r="4125" spans="1:4" x14ac:dyDescent="0.35">
      <c r="A4125" t="s">
        <v>4212</v>
      </c>
      <c r="B4125">
        <v>2805</v>
      </c>
      <c r="C4125">
        <v>2805</v>
      </c>
      <c r="D4125">
        <v>1</v>
      </c>
    </row>
    <row r="4126" spans="1:4" x14ac:dyDescent="0.35">
      <c r="A4126" t="s">
        <v>4213</v>
      </c>
      <c r="B4126">
        <v>1914</v>
      </c>
      <c r="C4126">
        <v>10395</v>
      </c>
      <c r="D4126">
        <v>1</v>
      </c>
    </row>
    <row r="4127" spans="1:4" x14ac:dyDescent="0.35">
      <c r="A4127" t="s">
        <v>4214</v>
      </c>
      <c r="B4127">
        <v>2321</v>
      </c>
      <c r="C4127">
        <v>707</v>
      </c>
      <c r="D4127">
        <v>0</v>
      </c>
    </row>
    <row r="4128" spans="1:4" x14ac:dyDescent="0.35">
      <c r="A4128" t="s">
        <v>4215</v>
      </c>
      <c r="B4128">
        <v>3553</v>
      </c>
      <c r="C4128">
        <v>10000</v>
      </c>
      <c r="D4128">
        <v>2</v>
      </c>
    </row>
    <row r="4129" spans="1:4" x14ac:dyDescent="0.35">
      <c r="A4129" t="s">
        <v>4216</v>
      </c>
      <c r="B4129">
        <v>3400</v>
      </c>
      <c r="C4129">
        <v>5000</v>
      </c>
      <c r="D4129">
        <v>0</v>
      </c>
    </row>
    <row r="4130" spans="1:4" x14ac:dyDescent="0.35">
      <c r="A4130" t="s">
        <v>4217</v>
      </c>
      <c r="B4130">
        <v>666296</v>
      </c>
      <c r="C4130">
        <v>666296</v>
      </c>
      <c r="D4130">
        <v>32</v>
      </c>
    </row>
    <row r="4131" spans="1:4" x14ac:dyDescent="0.35">
      <c r="A4131" t="s">
        <v>4218</v>
      </c>
      <c r="B4131">
        <v>0</v>
      </c>
      <c r="C4131">
        <v>0</v>
      </c>
      <c r="D4131">
        <v>0</v>
      </c>
    </row>
    <row r="4132" spans="1:4" x14ac:dyDescent="0.35">
      <c r="A4132" t="s">
        <v>4219</v>
      </c>
      <c r="B4132">
        <v>0</v>
      </c>
      <c r="C4132">
        <v>0</v>
      </c>
      <c r="D4132">
        <v>0</v>
      </c>
    </row>
    <row r="4133" spans="1:4" x14ac:dyDescent="0.35">
      <c r="A4133" t="s">
        <v>4220</v>
      </c>
      <c r="B4133">
        <v>0</v>
      </c>
      <c r="C4133">
        <v>0</v>
      </c>
      <c r="D4133">
        <v>0</v>
      </c>
    </row>
    <row r="4134" spans="1:4" x14ac:dyDescent="0.35">
      <c r="A4134" t="s">
        <v>4221</v>
      </c>
      <c r="B4134">
        <v>0</v>
      </c>
      <c r="C4134">
        <v>0</v>
      </c>
      <c r="D4134">
        <v>0</v>
      </c>
    </row>
    <row r="4135" spans="1:4" x14ac:dyDescent="0.35">
      <c r="A4135" t="s">
        <v>4222</v>
      </c>
      <c r="B4135">
        <v>0</v>
      </c>
      <c r="C4135">
        <v>0</v>
      </c>
      <c r="D4135">
        <v>0</v>
      </c>
    </row>
    <row r="4136" spans="1:4" x14ac:dyDescent="0.35">
      <c r="A4136" t="s">
        <v>4223</v>
      </c>
      <c r="B4136">
        <v>0</v>
      </c>
      <c r="C4136">
        <v>0</v>
      </c>
      <c r="D4136">
        <v>0</v>
      </c>
    </row>
    <row r="4137" spans="1:4" x14ac:dyDescent="0.35">
      <c r="A4137" t="s">
        <v>4224</v>
      </c>
      <c r="B4137">
        <v>0</v>
      </c>
      <c r="C4137">
        <v>0</v>
      </c>
      <c r="D4137">
        <v>0</v>
      </c>
    </row>
    <row r="4138" spans="1:4" x14ac:dyDescent="0.35">
      <c r="A4138" t="s">
        <v>4225</v>
      </c>
      <c r="B4138">
        <v>345</v>
      </c>
      <c r="C4138">
        <v>200</v>
      </c>
      <c r="D4138">
        <v>0</v>
      </c>
    </row>
    <row r="4139" spans="1:4" x14ac:dyDescent="0.35">
      <c r="A4139" t="s">
        <v>4226</v>
      </c>
      <c r="B4139">
        <v>608</v>
      </c>
      <c r="C4139">
        <v>614</v>
      </c>
      <c r="D4139">
        <v>0</v>
      </c>
    </row>
    <row r="4140" spans="1:4" x14ac:dyDescent="0.35">
      <c r="A4140" t="s">
        <v>4227</v>
      </c>
      <c r="B4140">
        <v>704</v>
      </c>
      <c r="C4140">
        <v>2000</v>
      </c>
      <c r="D4140">
        <v>0</v>
      </c>
    </row>
    <row r="4141" spans="1:4" x14ac:dyDescent="0.35">
      <c r="A4141" t="s">
        <v>4228</v>
      </c>
      <c r="B4141">
        <v>33</v>
      </c>
      <c r="C4141">
        <v>33</v>
      </c>
      <c r="D4141">
        <v>1867</v>
      </c>
    </row>
    <row r="4142" spans="1:4" x14ac:dyDescent="0.35">
      <c r="A4142" t="s">
        <v>4229</v>
      </c>
      <c r="B4142">
        <v>632952</v>
      </c>
      <c r="C4142">
        <v>616663</v>
      </c>
      <c r="D4142">
        <v>113</v>
      </c>
    </row>
    <row r="4143" spans="1:4" x14ac:dyDescent="0.35">
      <c r="A4143" t="s">
        <v>4230</v>
      </c>
      <c r="B4143">
        <v>918999993</v>
      </c>
      <c r="C4143">
        <v>917993306</v>
      </c>
      <c r="D4143">
        <v>16</v>
      </c>
    </row>
    <row r="4144" spans="1:4" x14ac:dyDescent="0.35">
      <c r="A4144" t="s">
        <v>4231</v>
      </c>
      <c r="B4144">
        <v>93</v>
      </c>
      <c r="C4144">
        <v>90</v>
      </c>
      <c r="D4144">
        <v>7964</v>
      </c>
    </row>
    <row r="4145" spans="1:4" x14ac:dyDescent="0.35">
      <c r="A4145" t="s">
        <v>4232</v>
      </c>
      <c r="B4145">
        <v>999</v>
      </c>
      <c r="C4145">
        <v>855</v>
      </c>
      <c r="D4145">
        <v>0</v>
      </c>
    </row>
    <row r="4146" spans="1:4" x14ac:dyDescent="0.35">
      <c r="A4146" t="s">
        <v>4233</v>
      </c>
      <c r="B4146">
        <v>1761</v>
      </c>
      <c r="C4146">
        <v>1675</v>
      </c>
      <c r="D4146">
        <v>1465</v>
      </c>
    </row>
    <row r="4147" spans="1:4" x14ac:dyDescent="0.35">
      <c r="A4147" t="s">
        <v>4234</v>
      </c>
      <c r="B4147">
        <v>493</v>
      </c>
      <c r="C4147">
        <v>369</v>
      </c>
      <c r="D4147">
        <v>2</v>
      </c>
    </row>
    <row r="4148" spans="1:4" x14ac:dyDescent="0.35">
      <c r="A4148" t="s">
        <v>4235</v>
      </c>
      <c r="B4148">
        <v>1664</v>
      </c>
      <c r="C4148">
        <v>1128</v>
      </c>
      <c r="D4148">
        <v>2</v>
      </c>
    </row>
    <row r="4149" spans="1:4" x14ac:dyDescent="0.35">
      <c r="A4149" t="s">
        <v>4236</v>
      </c>
      <c r="B4149">
        <v>998</v>
      </c>
      <c r="C4149">
        <v>936</v>
      </c>
      <c r="D4149">
        <v>1</v>
      </c>
    </row>
    <row r="4150" spans="1:4" x14ac:dyDescent="0.35">
      <c r="A4150" t="s">
        <v>4237</v>
      </c>
      <c r="B4150">
        <v>1000</v>
      </c>
      <c r="C4150">
        <v>100</v>
      </c>
      <c r="D4150">
        <v>10</v>
      </c>
    </row>
    <row r="4151" spans="1:4" x14ac:dyDescent="0.35">
      <c r="A4151" t="s">
        <v>4238</v>
      </c>
      <c r="B4151">
        <v>6313900</v>
      </c>
      <c r="C4151">
        <v>6156685</v>
      </c>
      <c r="D4151">
        <v>51</v>
      </c>
    </row>
    <row r="4152" spans="1:4" x14ac:dyDescent="0.35">
      <c r="A4152" t="s">
        <v>4239</v>
      </c>
      <c r="B4152">
        <v>1249995</v>
      </c>
      <c r="C4152">
        <v>570000</v>
      </c>
      <c r="D4152">
        <v>0</v>
      </c>
    </row>
    <row r="4153" spans="1:4" x14ac:dyDescent="0.35">
      <c r="A4153" t="s">
        <v>4240</v>
      </c>
      <c r="B4153">
        <v>2699999</v>
      </c>
      <c r="C4153">
        <v>2668237</v>
      </c>
      <c r="D4153">
        <v>1</v>
      </c>
    </row>
    <row r="4154" spans="1:4" x14ac:dyDescent="0.35">
      <c r="A4154" t="s">
        <v>4241</v>
      </c>
      <c r="B4154">
        <v>113498</v>
      </c>
      <c r="C4154">
        <v>91093</v>
      </c>
      <c r="D4154">
        <v>0</v>
      </c>
    </row>
    <row r="4155" spans="1:4" x14ac:dyDescent="0.35">
      <c r="A4155" t="s">
        <v>4242</v>
      </c>
      <c r="B4155">
        <v>350000</v>
      </c>
      <c r="C4155">
        <v>56000</v>
      </c>
      <c r="D4155">
        <v>0</v>
      </c>
    </row>
    <row r="4156" spans="1:4" x14ac:dyDescent="0.35">
      <c r="A4156" t="s">
        <v>4243</v>
      </c>
      <c r="B4156">
        <v>395169</v>
      </c>
      <c r="C4156">
        <v>175000</v>
      </c>
      <c r="D4156">
        <v>0</v>
      </c>
    </row>
    <row r="4157" spans="1:4" x14ac:dyDescent="0.35">
      <c r="A4157" t="s">
        <v>4244</v>
      </c>
      <c r="B4157">
        <v>1622222000</v>
      </c>
      <c r="C4157">
        <v>1622000000</v>
      </c>
      <c r="D4157">
        <v>5</v>
      </c>
    </row>
    <row r="4158" spans="1:4" x14ac:dyDescent="0.35">
      <c r="A4158" t="s">
        <v>4245</v>
      </c>
      <c r="B4158">
        <v>17363814</v>
      </c>
      <c r="C4158">
        <v>16881155</v>
      </c>
      <c r="D4158">
        <v>21</v>
      </c>
    </row>
    <row r="4159" spans="1:4" x14ac:dyDescent="0.35">
      <c r="A4159" t="s">
        <v>4246</v>
      </c>
      <c r="B4159">
        <v>2620000</v>
      </c>
      <c r="C4159">
        <v>2411120</v>
      </c>
      <c r="D4159">
        <v>0</v>
      </c>
    </row>
    <row r="4160" spans="1:4" x14ac:dyDescent="0.35">
      <c r="A4160" t="s">
        <v>4247</v>
      </c>
      <c r="B4160">
        <v>750000</v>
      </c>
      <c r="C4160">
        <v>587367</v>
      </c>
      <c r="D4160">
        <v>1</v>
      </c>
    </row>
    <row r="4161" spans="1:4" x14ac:dyDescent="0.35">
      <c r="A4161" t="s">
        <v>4248</v>
      </c>
      <c r="B4161">
        <v>997997</v>
      </c>
      <c r="C4161">
        <v>701003</v>
      </c>
      <c r="D4161">
        <v>0</v>
      </c>
    </row>
    <row r="4162" spans="1:4" x14ac:dyDescent="0.35">
      <c r="A4162" t="s">
        <v>4249</v>
      </c>
      <c r="B4162">
        <v>899990</v>
      </c>
      <c r="C4162">
        <v>781284</v>
      </c>
      <c r="D4162">
        <v>1</v>
      </c>
    </row>
    <row r="4163" spans="1:4" x14ac:dyDescent="0.35">
      <c r="A4163" t="s">
        <v>4250</v>
      </c>
      <c r="B4163">
        <v>189995</v>
      </c>
      <c r="C4163">
        <v>116532</v>
      </c>
      <c r="D4163">
        <v>5</v>
      </c>
    </row>
    <row r="4164" spans="1:4" x14ac:dyDescent="0.35">
      <c r="A4164" t="s">
        <v>4251</v>
      </c>
      <c r="B4164">
        <v>700000</v>
      </c>
      <c r="C4164">
        <v>131222</v>
      </c>
      <c r="D4164">
        <v>0</v>
      </c>
    </row>
    <row r="4165" spans="1:4" x14ac:dyDescent="0.35">
      <c r="A4165" t="s">
        <v>4252</v>
      </c>
      <c r="B4165">
        <v>571625</v>
      </c>
      <c r="C4165">
        <v>449300</v>
      </c>
      <c r="D4165">
        <v>1</v>
      </c>
    </row>
    <row r="4166" spans="1:4" x14ac:dyDescent="0.35">
      <c r="A4166" t="s">
        <v>4253</v>
      </c>
      <c r="B4166">
        <v>2101851</v>
      </c>
      <c r="C4166">
        <v>2100000</v>
      </c>
      <c r="D4166">
        <v>2</v>
      </c>
    </row>
    <row r="4167" spans="1:4" x14ac:dyDescent="0.35">
      <c r="A4167" t="s">
        <v>4254</v>
      </c>
      <c r="B4167">
        <v>847000</v>
      </c>
      <c r="C4167">
        <v>550000</v>
      </c>
      <c r="D4167">
        <v>0</v>
      </c>
    </row>
    <row r="4168" spans="1:4" x14ac:dyDescent="0.35">
      <c r="A4168" t="s">
        <v>4255</v>
      </c>
      <c r="B4168">
        <v>2912899</v>
      </c>
      <c r="C4168">
        <v>1781336</v>
      </c>
      <c r="D4168">
        <v>0</v>
      </c>
    </row>
    <row r="4169" spans="1:4" x14ac:dyDescent="0.35">
      <c r="A4169" t="s">
        <v>4256</v>
      </c>
      <c r="B4169">
        <v>2500000</v>
      </c>
      <c r="C4169">
        <v>2206257</v>
      </c>
      <c r="D4169">
        <v>0</v>
      </c>
    </row>
    <row r="4170" spans="1:4" x14ac:dyDescent="0.35">
      <c r="A4170" t="s">
        <v>4257</v>
      </c>
      <c r="B4170">
        <v>490000</v>
      </c>
      <c r="C4170">
        <v>380000</v>
      </c>
      <c r="D4170">
        <v>1</v>
      </c>
    </row>
    <row r="4171" spans="1:4" x14ac:dyDescent="0.35">
      <c r="A4171" t="s">
        <v>4258</v>
      </c>
      <c r="B4171">
        <v>69888</v>
      </c>
      <c r="C4171">
        <v>10201</v>
      </c>
      <c r="D4171">
        <v>1</v>
      </c>
    </row>
    <row r="4172" spans="1:4" x14ac:dyDescent="0.35">
      <c r="A4172" t="s">
        <v>4259</v>
      </c>
      <c r="B4172">
        <v>90331</v>
      </c>
      <c r="C4172">
        <v>31000</v>
      </c>
      <c r="D4172">
        <v>0</v>
      </c>
    </row>
    <row r="4173" spans="1:4" x14ac:dyDescent="0.35">
      <c r="A4173" t="s">
        <v>4260</v>
      </c>
      <c r="B4173">
        <v>218956</v>
      </c>
      <c r="C4173">
        <v>130000</v>
      </c>
      <c r="D4173">
        <v>0</v>
      </c>
    </row>
    <row r="4174" spans="1:4" x14ac:dyDescent="0.35">
      <c r="A4174" t="s">
        <v>4261</v>
      </c>
      <c r="B4174">
        <v>223380</v>
      </c>
      <c r="C4174">
        <v>206995</v>
      </c>
      <c r="D4174">
        <v>11</v>
      </c>
    </row>
    <row r="4175" spans="1:4" x14ac:dyDescent="0.35">
      <c r="A4175" t="s">
        <v>4262</v>
      </c>
      <c r="B4175">
        <v>1288</v>
      </c>
      <c r="C4175">
        <v>1288</v>
      </c>
      <c r="D4175">
        <v>0</v>
      </c>
    </row>
    <row r="4176" spans="1:4" x14ac:dyDescent="0.35">
      <c r="A4176" t="s">
        <v>4263</v>
      </c>
      <c r="B4176">
        <v>235000</v>
      </c>
      <c r="C4176">
        <v>220008</v>
      </c>
      <c r="D4176">
        <v>2</v>
      </c>
    </row>
    <row r="4177" spans="1:4" x14ac:dyDescent="0.35">
      <c r="A4177" t="s">
        <v>4264</v>
      </c>
      <c r="B4177">
        <v>256166</v>
      </c>
      <c r="C4177">
        <v>242538</v>
      </c>
      <c r="D4177">
        <v>34</v>
      </c>
    </row>
    <row r="4178" spans="1:4" x14ac:dyDescent="0.35">
      <c r="A4178" t="s">
        <v>4265</v>
      </c>
      <c r="B4178">
        <v>3916</v>
      </c>
      <c r="C4178">
        <v>1000</v>
      </c>
      <c r="D4178">
        <v>1</v>
      </c>
    </row>
    <row r="4179" spans="1:4" x14ac:dyDescent="0.35">
      <c r="A4179" t="s">
        <v>4266</v>
      </c>
      <c r="B4179">
        <v>1</v>
      </c>
      <c r="C4179">
        <v>11</v>
      </c>
      <c r="D4179">
        <v>0</v>
      </c>
    </row>
    <row r="4180" spans="1:4" x14ac:dyDescent="0.35">
      <c r="A4180" t="s">
        <v>4267</v>
      </c>
      <c r="B4180">
        <v>3</v>
      </c>
      <c r="C4180">
        <v>100</v>
      </c>
      <c r="D4180">
        <v>0</v>
      </c>
    </row>
    <row r="4181" spans="1:4" x14ac:dyDescent="0.35">
      <c r="A4181" t="s">
        <v>4268</v>
      </c>
      <c r="B4181">
        <v>632</v>
      </c>
      <c r="C4181">
        <v>572</v>
      </c>
      <c r="D4181">
        <v>61</v>
      </c>
    </row>
    <row r="4182" spans="1:4" x14ac:dyDescent="0.35">
      <c r="A4182" t="s">
        <v>4269</v>
      </c>
      <c r="B4182">
        <v>1750</v>
      </c>
      <c r="C4182">
        <v>1750</v>
      </c>
      <c r="D4182">
        <v>0</v>
      </c>
    </row>
    <row r="4183" spans="1:4" x14ac:dyDescent="0.35">
      <c r="A4183" t="s">
        <v>4270</v>
      </c>
      <c r="B4183">
        <v>133876211</v>
      </c>
      <c r="C4183">
        <v>130679360</v>
      </c>
      <c r="D4183">
        <v>18</v>
      </c>
    </row>
    <row r="4184" spans="1:4" x14ac:dyDescent="0.35">
      <c r="A4184" t="s">
        <v>4271</v>
      </c>
      <c r="B4184">
        <v>468</v>
      </c>
      <c r="C4184">
        <v>468</v>
      </c>
      <c r="D4184">
        <v>6314</v>
      </c>
    </row>
    <row r="4185" spans="1:4" x14ac:dyDescent="0.35">
      <c r="A4185" t="s">
        <v>4272</v>
      </c>
      <c r="B4185">
        <v>3706</v>
      </c>
      <c r="C4185">
        <v>3717</v>
      </c>
      <c r="D4185">
        <v>3656</v>
      </c>
    </row>
    <row r="4186" spans="1:4" x14ac:dyDescent="0.35">
      <c r="A4186" t="s">
        <v>4273</v>
      </c>
      <c r="B4186">
        <v>4055</v>
      </c>
      <c r="C4186">
        <v>3200</v>
      </c>
      <c r="D4186">
        <v>207</v>
      </c>
    </row>
    <row r="4187" spans="1:4" x14ac:dyDescent="0.35">
      <c r="A4187" t="s">
        <v>143</v>
      </c>
      <c r="B4187">
        <v>4099</v>
      </c>
      <c r="C4187">
        <v>4128</v>
      </c>
      <c r="D4187">
        <v>392</v>
      </c>
    </row>
    <row r="4188" spans="1:4" x14ac:dyDescent="0.35">
      <c r="A4188" t="s">
        <v>4274</v>
      </c>
      <c r="B4188">
        <v>70</v>
      </c>
      <c r="C4188">
        <v>30</v>
      </c>
      <c r="D4188">
        <v>0</v>
      </c>
    </row>
    <row r="4189" spans="1:4" x14ac:dyDescent="0.35">
      <c r="A4189" t="s">
        <v>4275</v>
      </c>
      <c r="B4189">
        <v>3723330</v>
      </c>
      <c r="C4189">
        <v>3664672</v>
      </c>
      <c r="D4189">
        <v>13</v>
      </c>
    </row>
    <row r="4190" spans="1:4" x14ac:dyDescent="0.35">
      <c r="A4190" t="s">
        <v>4276</v>
      </c>
      <c r="B4190">
        <v>6880169</v>
      </c>
      <c r="C4190">
        <v>6650665</v>
      </c>
      <c r="D4190">
        <v>6</v>
      </c>
    </row>
    <row r="4191" spans="1:4" x14ac:dyDescent="0.35">
      <c r="A4191" t="s">
        <v>4277</v>
      </c>
      <c r="B4191">
        <v>43143</v>
      </c>
      <c r="C4191">
        <v>42600</v>
      </c>
      <c r="D4191">
        <v>30</v>
      </c>
    </row>
    <row r="4192" spans="1:4" x14ac:dyDescent="0.35">
      <c r="A4192" t="s">
        <v>4278</v>
      </c>
      <c r="B4192">
        <v>3370000</v>
      </c>
      <c r="C4192">
        <v>3050000</v>
      </c>
      <c r="D4192">
        <v>0</v>
      </c>
    </row>
    <row r="4193" spans="1:4" x14ac:dyDescent="0.35">
      <c r="A4193" t="s">
        <v>4279</v>
      </c>
      <c r="B4193">
        <v>405</v>
      </c>
      <c r="C4193">
        <v>405</v>
      </c>
      <c r="D4193">
        <v>0</v>
      </c>
    </row>
    <row r="4194" spans="1:4" x14ac:dyDescent="0.35">
      <c r="A4194" t="s">
        <v>4280</v>
      </c>
      <c r="B4194">
        <v>445</v>
      </c>
      <c r="C4194">
        <v>410</v>
      </c>
      <c r="D4194">
        <v>0</v>
      </c>
    </row>
    <row r="4195" spans="1:4" x14ac:dyDescent="0.35">
      <c r="A4195" t="s">
        <v>4281</v>
      </c>
      <c r="B4195">
        <v>2251</v>
      </c>
      <c r="C4195">
        <v>2251</v>
      </c>
      <c r="D4195">
        <v>706</v>
      </c>
    </row>
    <row r="4196" spans="1:4" x14ac:dyDescent="0.35">
      <c r="A4196" t="s">
        <v>4282</v>
      </c>
      <c r="B4196">
        <v>2020</v>
      </c>
      <c r="C4196">
        <v>1908</v>
      </c>
      <c r="D4196">
        <v>2177</v>
      </c>
    </row>
    <row r="4197" spans="1:4" x14ac:dyDescent="0.35">
      <c r="A4197" t="s">
        <v>4283</v>
      </c>
      <c r="B4197">
        <v>37</v>
      </c>
      <c r="C4197">
        <v>28</v>
      </c>
      <c r="D4197">
        <v>0</v>
      </c>
    </row>
    <row r="4198" spans="1:4" x14ac:dyDescent="0.35">
      <c r="A4198" t="s">
        <v>4284</v>
      </c>
      <c r="B4198">
        <v>350</v>
      </c>
      <c r="C4198">
        <v>302</v>
      </c>
      <c r="D4198">
        <v>0</v>
      </c>
    </row>
    <row r="4199" spans="1:4" x14ac:dyDescent="0.35">
      <c r="A4199" t="s">
        <v>4285</v>
      </c>
      <c r="B4199">
        <v>10107</v>
      </c>
      <c r="C4199">
        <v>10107</v>
      </c>
      <c r="D4199">
        <v>0</v>
      </c>
    </row>
    <row r="4200" spans="1:4" x14ac:dyDescent="0.35">
      <c r="A4200" t="s">
        <v>4286</v>
      </c>
      <c r="B4200">
        <v>3112</v>
      </c>
      <c r="C4200">
        <v>3025</v>
      </c>
      <c r="D4200">
        <v>56053</v>
      </c>
    </row>
    <row r="4201" spans="1:4" x14ac:dyDescent="0.35">
      <c r="A4201" t="s">
        <v>4287</v>
      </c>
      <c r="B4201">
        <v>16428</v>
      </c>
      <c r="C4201">
        <v>16075</v>
      </c>
      <c r="D4201">
        <v>2464</v>
      </c>
    </row>
    <row r="4202" spans="1:4" x14ac:dyDescent="0.35">
      <c r="A4202" t="s">
        <v>4288</v>
      </c>
      <c r="B4202">
        <v>596</v>
      </c>
      <c r="C4202">
        <v>580</v>
      </c>
      <c r="D4202">
        <v>22560</v>
      </c>
    </row>
    <row r="4203" spans="1:4" x14ac:dyDescent="0.35">
      <c r="A4203" t="s">
        <v>4289</v>
      </c>
      <c r="B4203">
        <v>95</v>
      </c>
      <c r="C4203">
        <v>89</v>
      </c>
      <c r="D4203">
        <v>9417</v>
      </c>
    </row>
    <row r="4204" spans="1:4" x14ac:dyDescent="0.35">
      <c r="A4204" t="s">
        <v>4290</v>
      </c>
      <c r="B4204">
        <v>2299995</v>
      </c>
      <c r="C4204">
        <v>2276002</v>
      </c>
      <c r="D4204">
        <v>13</v>
      </c>
    </row>
    <row r="4205" spans="1:4" x14ac:dyDescent="0.35">
      <c r="A4205" t="s">
        <v>4291</v>
      </c>
      <c r="B4205">
        <v>92</v>
      </c>
      <c r="C4205">
        <v>95</v>
      </c>
      <c r="D4205">
        <v>6390</v>
      </c>
    </row>
    <row r="4206" spans="1:4" x14ac:dyDescent="0.35">
      <c r="A4206" t="s">
        <v>4292</v>
      </c>
      <c r="B4206">
        <v>2900</v>
      </c>
      <c r="C4206">
        <v>2900</v>
      </c>
      <c r="D4206">
        <v>1507</v>
      </c>
    </row>
    <row r="4207" spans="1:4" x14ac:dyDescent="0.35">
      <c r="A4207" t="s">
        <v>4293</v>
      </c>
      <c r="B4207">
        <v>1291</v>
      </c>
      <c r="C4207">
        <v>1250</v>
      </c>
      <c r="D4207">
        <v>64302</v>
      </c>
    </row>
    <row r="4208" spans="1:4" x14ac:dyDescent="0.35">
      <c r="A4208" t="s">
        <v>4294</v>
      </c>
      <c r="B4208">
        <v>317</v>
      </c>
      <c r="C4208">
        <v>317</v>
      </c>
      <c r="D4208">
        <v>21762</v>
      </c>
    </row>
    <row r="4209" spans="1:4" x14ac:dyDescent="0.35">
      <c r="A4209" t="s">
        <v>4295</v>
      </c>
      <c r="B4209">
        <v>21150000</v>
      </c>
      <c r="C4209">
        <v>21021021</v>
      </c>
      <c r="D4209">
        <v>0</v>
      </c>
    </row>
    <row r="4210" spans="1:4" x14ac:dyDescent="0.35">
      <c r="A4210" t="s">
        <v>4296</v>
      </c>
      <c r="B4210">
        <v>64</v>
      </c>
      <c r="C4210">
        <v>66</v>
      </c>
      <c r="D4210">
        <v>0</v>
      </c>
    </row>
    <row r="4211" spans="1:4" x14ac:dyDescent="0.35">
      <c r="A4211" t="s">
        <v>4297</v>
      </c>
      <c r="B4211">
        <v>400</v>
      </c>
      <c r="C4211">
        <v>306</v>
      </c>
      <c r="D4211">
        <v>0</v>
      </c>
    </row>
    <row r="4212" spans="1:4" x14ac:dyDescent="0.35">
      <c r="A4212" t="s">
        <v>4298</v>
      </c>
      <c r="B4212">
        <v>189</v>
      </c>
      <c r="C4212">
        <v>189</v>
      </c>
      <c r="D4212">
        <v>13</v>
      </c>
    </row>
    <row r="4213" spans="1:4" x14ac:dyDescent="0.35">
      <c r="A4213" t="s">
        <v>4299</v>
      </c>
      <c r="B4213">
        <v>29</v>
      </c>
      <c r="C4213">
        <v>100</v>
      </c>
      <c r="D4213">
        <v>0</v>
      </c>
    </row>
    <row r="4214" spans="1:4" x14ac:dyDescent="0.35">
      <c r="A4214" t="s">
        <v>4300</v>
      </c>
      <c r="B4214">
        <v>153</v>
      </c>
      <c r="C4214">
        <v>150</v>
      </c>
      <c r="D4214">
        <v>0</v>
      </c>
    </row>
    <row r="4215" spans="1:4" x14ac:dyDescent="0.35">
      <c r="A4215" t="s">
        <v>4301</v>
      </c>
      <c r="B4215">
        <v>10</v>
      </c>
      <c r="C4215">
        <v>1</v>
      </c>
      <c r="D4215">
        <v>0</v>
      </c>
    </row>
    <row r="4216" spans="1:4" x14ac:dyDescent="0.35">
      <c r="A4216" t="s">
        <v>4302</v>
      </c>
      <c r="B4216">
        <v>500</v>
      </c>
      <c r="C4216">
        <v>500</v>
      </c>
      <c r="D4216">
        <v>0</v>
      </c>
    </row>
    <row r="4217" spans="1:4" x14ac:dyDescent="0.35">
      <c r="A4217" t="s">
        <v>4303</v>
      </c>
      <c r="B4217">
        <v>1</v>
      </c>
      <c r="C4217">
        <v>108</v>
      </c>
      <c r="D4217">
        <v>0</v>
      </c>
    </row>
    <row r="4218" spans="1:4" x14ac:dyDescent="0.35">
      <c r="A4218" t="s">
        <v>4304</v>
      </c>
      <c r="B4218">
        <v>11381</v>
      </c>
      <c r="C4218">
        <v>11232</v>
      </c>
      <c r="D4218">
        <v>15</v>
      </c>
    </row>
    <row r="4219" spans="1:4" x14ac:dyDescent="0.35">
      <c r="A4219" t="s">
        <v>4305</v>
      </c>
      <c r="B4219">
        <v>36500</v>
      </c>
      <c r="C4219">
        <v>27500</v>
      </c>
      <c r="D4219">
        <v>5</v>
      </c>
    </row>
    <row r="4220" spans="1:4" x14ac:dyDescent="0.35">
      <c r="A4220" t="s">
        <v>4306</v>
      </c>
      <c r="B4220">
        <v>120</v>
      </c>
      <c r="C4220">
        <v>75</v>
      </c>
      <c r="D4220">
        <v>24</v>
      </c>
    </row>
    <row r="4221" spans="1:4" x14ac:dyDescent="0.35">
      <c r="A4221" t="s">
        <v>4307</v>
      </c>
      <c r="B4221">
        <v>241</v>
      </c>
      <c r="C4221">
        <v>224</v>
      </c>
      <c r="D4221">
        <v>1642</v>
      </c>
    </row>
    <row r="4222" spans="1:4" x14ac:dyDescent="0.35">
      <c r="A4222" t="s">
        <v>128</v>
      </c>
      <c r="B4222">
        <v>279</v>
      </c>
      <c r="C4222">
        <v>185</v>
      </c>
      <c r="D4222">
        <v>3403</v>
      </c>
    </row>
    <row r="4223" spans="1:4" x14ac:dyDescent="0.35">
      <c r="A4223" t="s">
        <v>4308</v>
      </c>
      <c r="B4223">
        <v>500</v>
      </c>
      <c r="C4223">
        <v>385</v>
      </c>
      <c r="D4223">
        <v>6</v>
      </c>
    </row>
    <row r="4224" spans="1:4" x14ac:dyDescent="0.35">
      <c r="A4224" t="s">
        <v>4309</v>
      </c>
      <c r="B4224">
        <v>15</v>
      </c>
      <c r="C4224">
        <v>11</v>
      </c>
      <c r="D4224">
        <v>18</v>
      </c>
    </row>
    <row r="4225" spans="1:4" x14ac:dyDescent="0.35">
      <c r="A4225" t="s">
        <v>4310</v>
      </c>
      <c r="B4225">
        <v>57</v>
      </c>
      <c r="C4225">
        <v>53</v>
      </c>
      <c r="D4225">
        <v>26534</v>
      </c>
    </row>
    <row r="4226" spans="1:4" x14ac:dyDescent="0.35">
      <c r="A4226" t="s">
        <v>4311</v>
      </c>
      <c r="B4226">
        <v>125</v>
      </c>
      <c r="C4226">
        <v>21</v>
      </c>
      <c r="D4226">
        <v>0</v>
      </c>
    </row>
    <row r="4227" spans="1:4" x14ac:dyDescent="0.35">
      <c r="A4227" t="s">
        <v>4312</v>
      </c>
      <c r="B4227">
        <v>650</v>
      </c>
      <c r="C4227">
        <v>6553</v>
      </c>
      <c r="D4227">
        <v>0</v>
      </c>
    </row>
    <row r="4228" spans="1:4" x14ac:dyDescent="0.35">
      <c r="A4228" t="s">
        <v>4313</v>
      </c>
      <c r="B4228">
        <v>50</v>
      </c>
      <c r="C4228">
        <v>100</v>
      </c>
      <c r="D4228">
        <v>0</v>
      </c>
    </row>
    <row r="4229" spans="1:4" x14ac:dyDescent="0.35">
      <c r="A4229" t="s">
        <v>4314</v>
      </c>
      <c r="B4229">
        <v>359067</v>
      </c>
      <c r="C4229">
        <v>625265</v>
      </c>
      <c r="D4229">
        <v>0</v>
      </c>
    </row>
    <row r="4230" spans="1:4" x14ac:dyDescent="0.35">
      <c r="A4230" t="s">
        <v>4315</v>
      </c>
      <c r="B4230">
        <v>84575</v>
      </c>
      <c r="C4230">
        <v>53174</v>
      </c>
      <c r="D4230">
        <v>0</v>
      </c>
    </row>
    <row r="4231" spans="1:4" x14ac:dyDescent="0.35">
      <c r="A4231" t="s">
        <v>4316</v>
      </c>
      <c r="B4231">
        <v>85</v>
      </c>
      <c r="C4231">
        <v>60</v>
      </c>
      <c r="D4231">
        <v>4</v>
      </c>
    </row>
    <row r="4232" spans="1:4" x14ac:dyDescent="0.35">
      <c r="A4232" t="s">
        <v>4317</v>
      </c>
      <c r="B4232">
        <v>10995</v>
      </c>
      <c r="C4232">
        <v>7117</v>
      </c>
      <c r="D4232">
        <v>3</v>
      </c>
    </row>
    <row r="4233" spans="1:4" x14ac:dyDescent="0.35">
      <c r="A4233" t="s">
        <v>4318</v>
      </c>
      <c r="B4233">
        <v>6244</v>
      </c>
      <c r="C4233">
        <v>6155</v>
      </c>
      <c r="D4233">
        <v>4362</v>
      </c>
    </row>
    <row r="4234" spans="1:4" x14ac:dyDescent="0.35">
      <c r="A4234" t="s">
        <v>4319</v>
      </c>
      <c r="B4234">
        <v>6242259</v>
      </c>
      <c r="C4234">
        <v>6177095</v>
      </c>
      <c r="D4234">
        <v>57</v>
      </c>
    </row>
    <row r="4235" spans="1:4" x14ac:dyDescent="0.35">
      <c r="A4235" t="s">
        <v>4320</v>
      </c>
      <c r="B4235">
        <v>122</v>
      </c>
      <c r="C4235">
        <v>122</v>
      </c>
      <c r="D4235">
        <v>37350</v>
      </c>
    </row>
    <row r="4236" spans="1:4" x14ac:dyDescent="0.35">
      <c r="A4236" t="s">
        <v>4321</v>
      </c>
      <c r="B4236">
        <v>1028</v>
      </c>
      <c r="C4236">
        <v>1002</v>
      </c>
      <c r="D4236">
        <v>627</v>
      </c>
    </row>
    <row r="4237" spans="1:4" x14ac:dyDescent="0.35">
      <c r="A4237" t="s">
        <v>4322</v>
      </c>
      <c r="B4237">
        <v>50</v>
      </c>
      <c r="C4237">
        <v>50</v>
      </c>
      <c r="D4237">
        <v>0</v>
      </c>
    </row>
    <row r="4238" spans="1:4" x14ac:dyDescent="0.35">
      <c r="A4238" t="s">
        <v>4323</v>
      </c>
      <c r="B4238">
        <v>648</v>
      </c>
      <c r="C4238">
        <v>636</v>
      </c>
      <c r="D4238">
        <v>12933</v>
      </c>
    </row>
    <row r="4239" spans="1:4" x14ac:dyDescent="0.35">
      <c r="A4239" t="s">
        <v>4324</v>
      </c>
      <c r="B4239">
        <v>4978</v>
      </c>
      <c r="C4239">
        <v>2010</v>
      </c>
      <c r="D4239">
        <v>0</v>
      </c>
    </row>
    <row r="4240" spans="1:4" x14ac:dyDescent="0.35">
      <c r="A4240" t="s">
        <v>4325</v>
      </c>
      <c r="B4240">
        <v>18777</v>
      </c>
      <c r="C4240">
        <v>1666</v>
      </c>
      <c r="D4240">
        <v>0</v>
      </c>
    </row>
    <row r="4241" spans="1:4" x14ac:dyDescent="0.35">
      <c r="A4241" t="s">
        <v>4326</v>
      </c>
      <c r="B4241">
        <v>77197419</v>
      </c>
      <c r="C4241">
        <v>75526891</v>
      </c>
      <c r="D4241">
        <v>17</v>
      </c>
    </row>
    <row r="4242" spans="1:4" x14ac:dyDescent="0.35">
      <c r="A4242" t="s">
        <v>4327</v>
      </c>
      <c r="B4242">
        <v>53669399</v>
      </c>
      <c r="C4242">
        <v>52281744</v>
      </c>
      <c r="D4242">
        <v>15</v>
      </c>
    </row>
    <row r="4243" spans="1:4" x14ac:dyDescent="0.35">
      <c r="A4243" t="s">
        <v>4328</v>
      </c>
      <c r="B4243">
        <v>15275000</v>
      </c>
      <c r="C4243">
        <v>15044000</v>
      </c>
      <c r="D4243">
        <v>6</v>
      </c>
    </row>
    <row r="4244" spans="1:4" x14ac:dyDescent="0.35">
      <c r="A4244" t="s">
        <v>4329</v>
      </c>
      <c r="B4244">
        <v>761762</v>
      </c>
      <c r="C4244">
        <v>723726</v>
      </c>
      <c r="D4244">
        <v>3</v>
      </c>
    </row>
    <row r="4245" spans="1:4" x14ac:dyDescent="0.35">
      <c r="A4245" t="s">
        <v>4330</v>
      </c>
      <c r="B4245">
        <v>179876</v>
      </c>
      <c r="C4245">
        <v>170006</v>
      </c>
      <c r="D4245">
        <v>9</v>
      </c>
    </row>
    <row r="4246" spans="1:4" x14ac:dyDescent="0.35">
      <c r="A4246" t="s">
        <v>4331</v>
      </c>
      <c r="B4246">
        <v>166678</v>
      </c>
      <c r="C4246">
        <v>167000</v>
      </c>
      <c r="D4246">
        <v>0</v>
      </c>
    </row>
    <row r="4247" spans="1:4" x14ac:dyDescent="0.35">
      <c r="A4247" t="s">
        <v>4332</v>
      </c>
      <c r="B4247">
        <v>97907</v>
      </c>
      <c r="C4247">
        <v>95002</v>
      </c>
      <c r="D4247">
        <v>5</v>
      </c>
    </row>
    <row r="4248" spans="1:4" x14ac:dyDescent="0.35">
      <c r="A4248" t="s">
        <v>4333</v>
      </c>
      <c r="B4248">
        <v>95055</v>
      </c>
      <c r="C4248">
        <v>95060</v>
      </c>
      <c r="D4248">
        <v>1</v>
      </c>
    </row>
    <row r="4249" spans="1:4" x14ac:dyDescent="0.35">
      <c r="A4249" t="s">
        <v>4334</v>
      </c>
      <c r="B4249">
        <v>125000</v>
      </c>
      <c r="C4249">
        <v>116000</v>
      </c>
      <c r="D4249">
        <v>33</v>
      </c>
    </row>
    <row r="4250" spans="1:4" x14ac:dyDescent="0.35">
      <c r="A4250" t="s">
        <v>4335</v>
      </c>
      <c r="B4250">
        <v>74232</v>
      </c>
      <c r="C4250">
        <v>78123</v>
      </c>
      <c r="D4250">
        <v>11</v>
      </c>
    </row>
    <row r="4251" spans="1:4" x14ac:dyDescent="0.35">
      <c r="A4251" t="s">
        <v>4336</v>
      </c>
      <c r="B4251">
        <v>308905</v>
      </c>
      <c r="C4251">
        <v>272800</v>
      </c>
      <c r="D4251">
        <v>27</v>
      </c>
    </row>
    <row r="4252" spans="1:4" x14ac:dyDescent="0.35">
      <c r="A4252" t="s">
        <v>4337</v>
      </c>
      <c r="B4252">
        <v>244905</v>
      </c>
      <c r="C4252">
        <v>232661</v>
      </c>
      <c r="D4252">
        <v>22</v>
      </c>
    </row>
    <row r="4253" spans="1:4" x14ac:dyDescent="0.35">
      <c r="A4253" t="s">
        <v>4338</v>
      </c>
      <c r="B4253">
        <v>0</v>
      </c>
      <c r="C4253">
        <v>0</v>
      </c>
      <c r="D4253">
        <v>0</v>
      </c>
    </row>
    <row r="4254" spans="1:4" x14ac:dyDescent="0.35">
      <c r="A4254" t="s">
        <v>4339</v>
      </c>
      <c r="B4254">
        <v>0</v>
      </c>
      <c r="C4254">
        <v>0</v>
      </c>
      <c r="D4254">
        <v>0</v>
      </c>
    </row>
    <row r="4255" spans="1:4" x14ac:dyDescent="0.35">
      <c r="A4255" t="s">
        <v>4340</v>
      </c>
      <c r="B4255">
        <v>0</v>
      </c>
      <c r="C4255">
        <v>0</v>
      </c>
      <c r="D4255">
        <v>0</v>
      </c>
    </row>
    <row r="4256" spans="1:4" x14ac:dyDescent="0.35">
      <c r="A4256" t="s">
        <v>4341</v>
      </c>
      <c r="B4256">
        <v>0</v>
      </c>
      <c r="C4256">
        <v>0</v>
      </c>
      <c r="D4256">
        <v>0</v>
      </c>
    </row>
    <row r="4257" spans="1:4" x14ac:dyDescent="0.35">
      <c r="A4257" t="s">
        <v>4342</v>
      </c>
      <c r="B4257">
        <v>3</v>
      </c>
      <c r="C4257">
        <v>2</v>
      </c>
      <c r="D4257">
        <v>126983</v>
      </c>
    </row>
    <row r="4258" spans="1:4" x14ac:dyDescent="0.35">
      <c r="A4258" t="s">
        <v>4343</v>
      </c>
      <c r="B4258">
        <v>11700</v>
      </c>
      <c r="C4258">
        <v>11458</v>
      </c>
      <c r="D4258">
        <v>3218</v>
      </c>
    </row>
    <row r="4259" spans="1:4" x14ac:dyDescent="0.35">
      <c r="A4259" t="s">
        <v>4344</v>
      </c>
      <c r="B4259">
        <v>5</v>
      </c>
      <c r="C4259">
        <v>5</v>
      </c>
      <c r="D4259">
        <v>113209</v>
      </c>
    </row>
    <row r="4260" spans="1:4" x14ac:dyDescent="0.35">
      <c r="A4260" t="s">
        <v>4345</v>
      </c>
      <c r="B4260">
        <v>6241247</v>
      </c>
      <c r="C4260">
        <v>6004318</v>
      </c>
      <c r="D4260">
        <v>6</v>
      </c>
    </row>
    <row r="4261" spans="1:4" x14ac:dyDescent="0.35">
      <c r="A4261" t="s">
        <v>4346</v>
      </c>
      <c r="B4261">
        <v>152</v>
      </c>
      <c r="C4261">
        <v>154</v>
      </c>
      <c r="D4261">
        <v>11193</v>
      </c>
    </row>
    <row r="4262" spans="1:4" x14ac:dyDescent="0.35">
      <c r="A4262" t="s">
        <v>4347</v>
      </c>
      <c r="B4262">
        <v>6001</v>
      </c>
      <c r="C4262">
        <v>5000</v>
      </c>
      <c r="D4262">
        <v>0</v>
      </c>
    </row>
    <row r="4263" spans="1:4" x14ac:dyDescent="0.35">
      <c r="A4263" t="s">
        <v>4348</v>
      </c>
      <c r="B4263">
        <v>38000</v>
      </c>
      <c r="C4263">
        <v>69</v>
      </c>
      <c r="D4263">
        <v>0</v>
      </c>
    </row>
    <row r="4264" spans="1:4" x14ac:dyDescent="0.35">
      <c r="A4264" t="s">
        <v>4349</v>
      </c>
      <c r="B4264">
        <v>1246</v>
      </c>
      <c r="C4264">
        <v>69</v>
      </c>
      <c r="D4264">
        <v>0</v>
      </c>
    </row>
    <row r="4265" spans="1:4" x14ac:dyDescent="0.35">
      <c r="A4265" t="s">
        <v>4350</v>
      </c>
      <c r="B4265">
        <v>932</v>
      </c>
      <c r="C4265">
        <v>880</v>
      </c>
      <c r="D4265">
        <v>0</v>
      </c>
    </row>
    <row r="4266" spans="1:4" x14ac:dyDescent="0.35">
      <c r="A4266" t="s">
        <v>4351</v>
      </c>
      <c r="B4266">
        <v>3046</v>
      </c>
      <c r="C4266">
        <v>69</v>
      </c>
      <c r="D4266">
        <v>0</v>
      </c>
    </row>
    <row r="4267" spans="1:4" x14ac:dyDescent="0.35">
      <c r="A4267" t="s">
        <v>4352</v>
      </c>
      <c r="B4267">
        <v>2681</v>
      </c>
      <c r="C4267">
        <v>12000</v>
      </c>
      <c r="D4267">
        <v>0</v>
      </c>
    </row>
    <row r="4268" spans="1:4" x14ac:dyDescent="0.35">
      <c r="A4268" t="s">
        <v>4353</v>
      </c>
      <c r="B4268">
        <v>2967</v>
      </c>
      <c r="C4268">
        <v>55000</v>
      </c>
      <c r="D4268">
        <v>0</v>
      </c>
    </row>
    <row r="4269" spans="1:4" x14ac:dyDescent="0.35">
      <c r="A4269" t="s">
        <v>4354</v>
      </c>
      <c r="B4269">
        <v>100000</v>
      </c>
      <c r="C4269">
        <v>30000</v>
      </c>
      <c r="D4269">
        <v>0</v>
      </c>
    </row>
    <row r="4270" spans="1:4" x14ac:dyDescent="0.35">
      <c r="A4270" t="s">
        <v>4355</v>
      </c>
      <c r="B4270">
        <v>3231</v>
      </c>
      <c r="C4270">
        <v>4174</v>
      </c>
      <c r="D4270">
        <v>0</v>
      </c>
    </row>
    <row r="4271" spans="1:4" x14ac:dyDescent="0.35">
      <c r="A4271" t="s">
        <v>4356</v>
      </c>
      <c r="B4271">
        <v>348654</v>
      </c>
      <c r="C4271">
        <v>10000</v>
      </c>
      <c r="D4271">
        <v>0</v>
      </c>
    </row>
    <row r="4272" spans="1:4" x14ac:dyDescent="0.35">
      <c r="A4272" t="s">
        <v>4357</v>
      </c>
      <c r="B4272">
        <v>6999</v>
      </c>
      <c r="C4272">
        <v>20000</v>
      </c>
      <c r="D4272">
        <v>0</v>
      </c>
    </row>
    <row r="4273" spans="1:4" x14ac:dyDescent="0.35">
      <c r="A4273" t="s">
        <v>4358</v>
      </c>
      <c r="B4273">
        <v>2564</v>
      </c>
      <c r="C4273">
        <v>10000</v>
      </c>
      <c r="D4273">
        <v>0</v>
      </c>
    </row>
    <row r="4274" spans="1:4" x14ac:dyDescent="0.35">
      <c r="A4274" t="s">
        <v>4359</v>
      </c>
      <c r="B4274">
        <v>324945</v>
      </c>
      <c r="C4274">
        <v>2816</v>
      </c>
      <c r="D4274">
        <v>0</v>
      </c>
    </row>
    <row r="4275" spans="1:4" x14ac:dyDescent="0.35">
      <c r="A4275" t="s">
        <v>4360</v>
      </c>
      <c r="B4275">
        <v>2550</v>
      </c>
      <c r="C4275">
        <v>2000</v>
      </c>
      <c r="D4275">
        <v>3</v>
      </c>
    </row>
    <row r="4276" spans="1:4" x14ac:dyDescent="0.35">
      <c r="A4276" t="s">
        <v>4361</v>
      </c>
      <c r="B4276">
        <v>29900</v>
      </c>
      <c r="C4276">
        <v>2746</v>
      </c>
      <c r="D4276">
        <v>1</v>
      </c>
    </row>
    <row r="4277" spans="1:4" x14ac:dyDescent="0.35">
      <c r="A4277" t="s">
        <v>4362</v>
      </c>
      <c r="B4277">
        <v>2146</v>
      </c>
      <c r="C4277">
        <v>70</v>
      </c>
      <c r="D4277">
        <v>0</v>
      </c>
    </row>
    <row r="4278" spans="1:4" x14ac:dyDescent="0.35">
      <c r="A4278" t="s">
        <v>4363</v>
      </c>
      <c r="B4278">
        <v>101850000</v>
      </c>
      <c r="C4278">
        <v>101747415</v>
      </c>
      <c r="D4278">
        <v>12</v>
      </c>
    </row>
    <row r="4279" spans="1:4" x14ac:dyDescent="0.35">
      <c r="A4279" t="s">
        <v>4364</v>
      </c>
      <c r="B4279">
        <v>9331974</v>
      </c>
      <c r="C4279">
        <v>9100000</v>
      </c>
      <c r="D4279">
        <v>15</v>
      </c>
    </row>
    <row r="4280" spans="1:4" x14ac:dyDescent="0.35">
      <c r="A4280" t="s">
        <v>4365</v>
      </c>
      <c r="B4280">
        <v>39378033</v>
      </c>
      <c r="C4280">
        <v>39146227</v>
      </c>
      <c r="D4280">
        <v>23</v>
      </c>
    </row>
    <row r="4281" spans="1:4" x14ac:dyDescent="0.35">
      <c r="A4281" t="s">
        <v>4366</v>
      </c>
      <c r="B4281">
        <v>50994899</v>
      </c>
      <c r="C4281">
        <v>50899290</v>
      </c>
      <c r="D4281">
        <v>26</v>
      </c>
    </row>
    <row r="4282" spans="1:4" x14ac:dyDescent="0.35">
      <c r="A4282" t="s">
        <v>4367</v>
      </c>
      <c r="B4282">
        <v>125</v>
      </c>
      <c r="C4282">
        <v>116</v>
      </c>
      <c r="D4282">
        <v>17</v>
      </c>
    </row>
    <row r="4283" spans="1:4" x14ac:dyDescent="0.35">
      <c r="A4283" t="s">
        <v>4368</v>
      </c>
      <c r="B4283">
        <v>39913704</v>
      </c>
      <c r="C4283">
        <v>39040706</v>
      </c>
      <c r="D4283">
        <v>49</v>
      </c>
    </row>
    <row r="4284" spans="1:4" x14ac:dyDescent="0.35">
      <c r="A4284" t="s">
        <v>4369</v>
      </c>
      <c r="B4284">
        <v>1800000</v>
      </c>
      <c r="C4284">
        <v>1752464</v>
      </c>
      <c r="D4284">
        <v>11</v>
      </c>
    </row>
    <row r="4285" spans="1:4" x14ac:dyDescent="0.35">
      <c r="A4285" t="s">
        <v>4370</v>
      </c>
      <c r="B4285">
        <v>26624000</v>
      </c>
      <c r="C4285">
        <v>26350000</v>
      </c>
      <c r="D4285">
        <v>8</v>
      </c>
    </row>
    <row r="4286" spans="1:4" x14ac:dyDescent="0.35">
      <c r="A4286" t="s">
        <v>4371</v>
      </c>
      <c r="B4286">
        <v>10000000</v>
      </c>
      <c r="C4286">
        <v>9690111</v>
      </c>
      <c r="D4286">
        <v>8</v>
      </c>
    </row>
    <row r="4287" spans="1:4" x14ac:dyDescent="0.35">
      <c r="A4287" t="s">
        <v>4372</v>
      </c>
      <c r="B4287">
        <v>42748999</v>
      </c>
      <c r="C4287">
        <v>41597982</v>
      </c>
      <c r="D4287">
        <v>5</v>
      </c>
    </row>
    <row r="4288" spans="1:4" x14ac:dyDescent="0.35">
      <c r="A4288" t="s">
        <v>171</v>
      </c>
      <c r="B4288">
        <v>87</v>
      </c>
      <c r="C4288">
        <v>85</v>
      </c>
      <c r="D4288">
        <v>50946</v>
      </c>
    </row>
    <row r="4289" spans="1:4" x14ac:dyDescent="0.35">
      <c r="A4289" t="s">
        <v>4373</v>
      </c>
      <c r="B4289">
        <v>2112829</v>
      </c>
      <c r="C4289">
        <v>1959495</v>
      </c>
      <c r="D4289">
        <v>1</v>
      </c>
    </row>
    <row r="4290" spans="1:4" x14ac:dyDescent="0.35">
      <c r="A4290" t="s">
        <v>4374</v>
      </c>
      <c r="B4290">
        <v>0</v>
      </c>
      <c r="C4290">
        <v>0</v>
      </c>
      <c r="D4290">
        <v>0</v>
      </c>
    </row>
    <row r="4291" spans="1:4" x14ac:dyDescent="0.35">
      <c r="A4291" t="s">
        <v>4375</v>
      </c>
      <c r="B4291">
        <v>2257</v>
      </c>
      <c r="C4291">
        <v>150</v>
      </c>
      <c r="D4291">
        <v>4</v>
      </c>
    </row>
    <row r="4292" spans="1:4" x14ac:dyDescent="0.35">
      <c r="A4292" t="s">
        <v>4376</v>
      </c>
      <c r="B4292">
        <v>1460</v>
      </c>
      <c r="C4292">
        <v>1700</v>
      </c>
      <c r="D4292">
        <v>5</v>
      </c>
    </row>
    <row r="4293" spans="1:4" x14ac:dyDescent="0.35">
      <c r="A4293" t="s">
        <v>4377</v>
      </c>
      <c r="B4293">
        <v>1928</v>
      </c>
      <c r="C4293">
        <v>2471</v>
      </c>
      <c r="D4293">
        <v>7</v>
      </c>
    </row>
    <row r="4294" spans="1:4" x14ac:dyDescent="0.35">
      <c r="A4294" t="s">
        <v>4378</v>
      </c>
      <c r="B4294">
        <v>10030</v>
      </c>
      <c r="C4294">
        <v>8254</v>
      </c>
      <c r="D4294">
        <v>15</v>
      </c>
    </row>
    <row r="4295" spans="1:4" x14ac:dyDescent="0.35">
      <c r="A4295" t="s">
        <v>4379</v>
      </c>
      <c r="B4295">
        <v>1750000</v>
      </c>
      <c r="C4295">
        <v>1490457</v>
      </c>
      <c r="D4295">
        <v>0</v>
      </c>
    </row>
    <row r="4296" spans="1:4" x14ac:dyDescent="0.35">
      <c r="A4296" t="s">
        <v>4380</v>
      </c>
      <c r="B4296">
        <v>0</v>
      </c>
      <c r="C4296">
        <v>0</v>
      </c>
      <c r="D4296">
        <v>0</v>
      </c>
    </row>
    <row r="4297" spans="1:4" x14ac:dyDescent="0.35">
      <c r="A4297" t="s">
        <v>4381</v>
      </c>
      <c r="B4297">
        <v>92140</v>
      </c>
      <c r="C4297">
        <v>106929</v>
      </c>
      <c r="D4297">
        <v>4</v>
      </c>
    </row>
    <row r="4298" spans="1:4" x14ac:dyDescent="0.35">
      <c r="A4298" t="s">
        <v>4382</v>
      </c>
      <c r="B4298">
        <v>41499</v>
      </c>
      <c r="C4298">
        <v>39000</v>
      </c>
      <c r="D4298">
        <v>4</v>
      </c>
    </row>
    <row r="4299" spans="1:4" x14ac:dyDescent="0.35">
      <c r="A4299" t="s">
        <v>4383</v>
      </c>
      <c r="B4299">
        <v>77486</v>
      </c>
      <c r="C4299">
        <v>81310</v>
      </c>
      <c r="D4299">
        <v>0</v>
      </c>
    </row>
    <row r="4300" spans="1:4" x14ac:dyDescent="0.35">
      <c r="A4300" t="s">
        <v>4384</v>
      </c>
      <c r="B4300">
        <v>58191</v>
      </c>
      <c r="C4300">
        <v>52500</v>
      </c>
      <c r="D4300">
        <v>46</v>
      </c>
    </row>
    <row r="4301" spans="1:4" x14ac:dyDescent="0.35">
      <c r="A4301" t="s">
        <v>4385</v>
      </c>
      <c r="B4301">
        <v>532</v>
      </c>
      <c r="C4301">
        <v>463</v>
      </c>
      <c r="D4301">
        <v>383</v>
      </c>
    </row>
    <row r="4302" spans="1:4" x14ac:dyDescent="0.35">
      <c r="A4302" t="s">
        <v>4386</v>
      </c>
      <c r="B4302">
        <v>8801</v>
      </c>
      <c r="C4302">
        <v>8850</v>
      </c>
      <c r="D4302">
        <v>16033</v>
      </c>
    </row>
    <row r="4303" spans="1:4" x14ac:dyDescent="0.35">
      <c r="A4303" t="s">
        <v>4387</v>
      </c>
      <c r="B4303">
        <v>848</v>
      </c>
      <c r="C4303">
        <v>811</v>
      </c>
      <c r="D4303">
        <v>9251</v>
      </c>
    </row>
    <row r="4304" spans="1:4" x14ac:dyDescent="0.35">
      <c r="A4304" t="s">
        <v>4388</v>
      </c>
      <c r="B4304">
        <v>6</v>
      </c>
      <c r="C4304">
        <v>5</v>
      </c>
      <c r="D4304">
        <v>994533</v>
      </c>
    </row>
    <row r="4305" spans="1:4" x14ac:dyDescent="0.35">
      <c r="A4305" t="s">
        <v>4389</v>
      </c>
      <c r="B4305">
        <v>225</v>
      </c>
      <c r="C4305">
        <v>216</v>
      </c>
      <c r="D4305">
        <v>435</v>
      </c>
    </row>
    <row r="4306" spans="1:4" x14ac:dyDescent="0.35">
      <c r="A4306" t="s">
        <v>4390</v>
      </c>
      <c r="B4306">
        <v>3</v>
      </c>
      <c r="C4306">
        <v>2</v>
      </c>
      <c r="D4306">
        <v>5</v>
      </c>
    </row>
    <row r="4307" spans="1:4" x14ac:dyDescent="0.35">
      <c r="A4307" t="s">
        <v>4391</v>
      </c>
      <c r="B4307">
        <v>852</v>
      </c>
      <c r="C4307">
        <v>852</v>
      </c>
      <c r="D4307">
        <v>183</v>
      </c>
    </row>
    <row r="4308" spans="1:4" x14ac:dyDescent="0.35">
      <c r="A4308" t="s">
        <v>4392</v>
      </c>
      <c r="B4308">
        <v>500</v>
      </c>
      <c r="C4308">
        <v>269</v>
      </c>
      <c r="D4308">
        <v>215</v>
      </c>
    </row>
    <row r="4309" spans="1:4" x14ac:dyDescent="0.35">
      <c r="A4309" t="s">
        <v>4393</v>
      </c>
      <c r="B4309">
        <v>14</v>
      </c>
      <c r="C4309">
        <v>2</v>
      </c>
      <c r="D4309">
        <v>3878</v>
      </c>
    </row>
    <row r="4310" spans="1:4" x14ac:dyDescent="0.35">
      <c r="A4310" t="s">
        <v>4394</v>
      </c>
      <c r="B4310">
        <v>69</v>
      </c>
      <c r="C4310">
        <v>50</v>
      </c>
      <c r="D4310">
        <v>3205</v>
      </c>
    </row>
    <row r="4311" spans="1:4" x14ac:dyDescent="0.35">
      <c r="A4311" t="s">
        <v>4395</v>
      </c>
      <c r="B4311">
        <v>25</v>
      </c>
      <c r="C4311">
        <v>20</v>
      </c>
      <c r="D4311">
        <v>4892</v>
      </c>
    </row>
    <row r="4312" spans="1:4" x14ac:dyDescent="0.35">
      <c r="A4312" t="s">
        <v>4396</v>
      </c>
      <c r="B4312">
        <v>10</v>
      </c>
      <c r="C4312">
        <v>4</v>
      </c>
      <c r="D4312">
        <v>4</v>
      </c>
    </row>
    <row r="4313" spans="1:4" x14ac:dyDescent="0.35">
      <c r="A4313" t="s">
        <v>4397</v>
      </c>
      <c r="B4313">
        <v>68</v>
      </c>
      <c r="C4313">
        <v>102</v>
      </c>
      <c r="D4313">
        <v>919</v>
      </c>
    </row>
    <row r="4314" spans="1:4" x14ac:dyDescent="0.35">
      <c r="A4314" t="s">
        <v>4398</v>
      </c>
      <c r="B4314">
        <v>4889</v>
      </c>
      <c r="C4314">
        <v>4552</v>
      </c>
      <c r="D4314">
        <v>36</v>
      </c>
    </row>
    <row r="4315" spans="1:4" x14ac:dyDescent="0.35">
      <c r="A4315" t="s">
        <v>158</v>
      </c>
      <c r="B4315">
        <v>132</v>
      </c>
      <c r="C4315">
        <v>131</v>
      </c>
      <c r="D4315">
        <v>16</v>
      </c>
    </row>
    <row r="4316" spans="1:4" x14ac:dyDescent="0.35">
      <c r="A4316" t="s">
        <v>179</v>
      </c>
      <c r="B4316">
        <v>741</v>
      </c>
      <c r="C4316">
        <v>643</v>
      </c>
      <c r="D4316">
        <v>6</v>
      </c>
    </row>
    <row r="4317" spans="1:4" x14ac:dyDescent="0.35">
      <c r="A4317" t="s">
        <v>4399</v>
      </c>
      <c r="B4317">
        <v>4600</v>
      </c>
      <c r="C4317">
        <v>4456</v>
      </c>
      <c r="D4317">
        <v>895</v>
      </c>
    </row>
    <row r="4318" spans="1:4" x14ac:dyDescent="0.35">
      <c r="A4318" t="s">
        <v>4400</v>
      </c>
      <c r="B4318">
        <v>15040356</v>
      </c>
      <c r="C4318">
        <v>14400007</v>
      </c>
      <c r="D4318">
        <v>47</v>
      </c>
    </row>
    <row r="4319" spans="1:4" x14ac:dyDescent="0.35">
      <c r="A4319" t="s">
        <v>4401</v>
      </c>
      <c r="B4319">
        <v>253</v>
      </c>
      <c r="C4319">
        <v>242</v>
      </c>
      <c r="D4319">
        <v>1304</v>
      </c>
    </row>
    <row r="4320" spans="1:4" x14ac:dyDescent="0.35">
      <c r="A4320" t="s">
        <v>4402</v>
      </c>
      <c r="B4320">
        <v>2431</v>
      </c>
      <c r="C4320">
        <v>2208</v>
      </c>
      <c r="D4320">
        <v>110</v>
      </c>
    </row>
    <row r="4321" spans="1:4" x14ac:dyDescent="0.35">
      <c r="A4321" t="s">
        <v>4403</v>
      </c>
      <c r="B4321">
        <v>125</v>
      </c>
      <c r="C4321">
        <v>111</v>
      </c>
      <c r="D4321">
        <v>0</v>
      </c>
    </row>
    <row r="4322" spans="1:4" x14ac:dyDescent="0.35">
      <c r="A4322" t="s">
        <v>4404</v>
      </c>
      <c r="B4322">
        <v>1350</v>
      </c>
      <c r="C4322">
        <v>1111</v>
      </c>
      <c r="D4322">
        <v>2</v>
      </c>
    </row>
    <row r="4323" spans="1:4" x14ac:dyDescent="0.35">
      <c r="A4323" t="s">
        <v>4405</v>
      </c>
      <c r="B4323">
        <v>80</v>
      </c>
      <c r="C4323">
        <v>79</v>
      </c>
      <c r="D4323">
        <v>11</v>
      </c>
    </row>
    <row r="4324" spans="1:4" x14ac:dyDescent="0.35">
      <c r="A4324" t="s">
        <v>4406</v>
      </c>
      <c r="B4324">
        <v>100</v>
      </c>
      <c r="C4324">
        <v>1</v>
      </c>
      <c r="D4324">
        <v>0</v>
      </c>
    </row>
    <row r="4325" spans="1:4" x14ac:dyDescent="0.35">
      <c r="A4325" t="s">
        <v>4407</v>
      </c>
      <c r="B4325">
        <v>2799</v>
      </c>
      <c r="C4325">
        <v>2658</v>
      </c>
      <c r="D4325">
        <v>21</v>
      </c>
    </row>
    <row r="4326" spans="1:4" x14ac:dyDescent="0.35">
      <c r="A4326" t="s">
        <v>4408</v>
      </c>
      <c r="B4326">
        <v>24217</v>
      </c>
      <c r="C4326">
        <v>35000</v>
      </c>
      <c r="D4326">
        <v>3</v>
      </c>
    </row>
    <row r="4327" spans="1:4" x14ac:dyDescent="0.35">
      <c r="A4327" t="s">
        <v>115</v>
      </c>
      <c r="B4327">
        <v>337</v>
      </c>
      <c r="C4327">
        <v>335</v>
      </c>
      <c r="D4327">
        <v>22928</v>
      </c>
    </row>
    <row r="4328" spans="1:4" x14ac:dyDescent="0.35">
      <c r="A4328" t="s">
        <v>4409</v>
      </c>
      <c r="B4328">
        <v>10000</v>
      </c>
      <c r="C4328">
        <v>2806</v>
      </c>
      <c r="D4328">
        <v>1</v>
      </c>
    </row>
    <row r="4329" spans="1:4" x14ac:dyDescent="0.35">
      <c r="A4329" t="s">
        <v>4410</v>
      </c>
      <c r="B4329">
        <v>300000</v>
      </c>
      <c r="C4329">
        <v>30000</v>
      </c>
      <c r="D4329">
        <v>2</v>
      </c>
    </row>
    <row r="4330" spans="1:4" x14ac:dyDescent="0.35">
      <c r="A4330" t="s">
        <v>4411</v>
      </c>
      <c r="B4330">
        <v>7000</v>
      </c>
      <c r="C4330">
        <v>6000</v>
      </c>
      <c r="D4330">
        <v>4</v>
      </c>
    </row>
    <row r="4331" spans="1:4" x14ac:dyDescent="0.35">
      <c r="A4331" t="s">
        <v>4412</v>
      </c>
      <c r="B4331">
        <v>688</v>
      </c>
      <c r="C4331">
        <v>150</v>
      </c>
      <c r="D4331">
        <v>0</v>
      </c>
    </row>
    <row r="4332" spans="1:4" x14ac:dyDescent="0.35">
      <c r="A4332" t="s">
        <v>4413</v>
      </c>
      <c r="B4332">
        <v>1648</v>
      </c>
      <c r="C4332">
        <v>200</v>
      </c>
      <c r="D4332">
        <v>0</v>
      </c>
    </row>
    <row r="4333" spans="1:4" x14ac:dyDescent="0.35">
      <c r="A4333" t="s">
        <v>4414</v>
      </c>
      <c r="B4333">
        <v>255</v>
      </c>
      <c r="C4333">
        <v>2205</v>
      </c>
      <c r="D4333">
        <v>0</v>
      </c>
    </row>
    <row r="4334" spans="1:4" x14ac:dyDescent="0.35">
      <c r="A4334" t="s">
        <v>4415</v>
      </c>
      <c r="B4334">
        <v>93000</v>
      </c>
      <c r="C4334">
        <v>200</v>
      </c>
      <c r="D4334">
        <v>0</v>
      </c>
    </row>
    <row r="4335" spans="1:4" x14ac:dyDescent="0.35">
      <c r="A4335" t="s">
        <v>4416</v>
      </c>
      <c r="B4335">
        <v>53</v>
      </c>
      <c r="C4335">
        <v>242</v>
      </c>
      <c r="D4335">
        <v>0</v>
      </c>
    </row>
    <row r="4336" spans="1:4" x14ac:dyDescent="0.35">
      <c r="A4336" t="s">
        <v>4417</v>
      </c>
      <c r="B4336">
        <v>427</v>
      </c>
      <c r="C4336">
        <v>1268</v>
      </c>
      <c r="D4336">
        <v>0</v>
      </c>
    </row>
    <row r="4337" spans="1:4" x14ac:dyDescent="0.35">
      <c r="A4337" t="s">
        <v>4418</v>
      </c>
      <c r="B4337">
        <v>2100000</v>
      </c>
      <c r="C4337">
        <v>1655000</v>
      </c>
      <c r="D4337">
        <v>0</v>
      </c>
    </row>
    <row r="4338" spans="1:4" x14ac:dyDescent="0.35">
      <c r="A4338" t="s">
        <v>4419</v>
      </c>
      <c r="B4338">
        <v>4162</v>
      </c>
      <c r="C4338">
        <v>3033</v>
      </c>
      <c r="D4338">
        <v>0</v>
      </c>
    </row>
    <row r="4339" spans="1:4" x14ac:dyDescent="0.35">
      <c r="A4339" t="s">
        <v>4420</v>
      </c>
      <c r="B4339">
        <v>4500</v>
      </c>
      <c r="C4339">
        <v>1541</v>
      </c>
      <c r="D4339">
        <v>1</v>
      </c>
    </row>
    <row r="4340" spans="1:4" x14ac:dyDescent="0.35">
      <c r="A4340" t="s">
        <v>4421</v>
      </c>
      <c r="B4340">
        <v>62</v>
      </c>
      <c r="C4340">
        <v>81</v>
      </c>
      <c r="D4340">
        <v>542</v>
      </c>
    </row>
    <row r="4341" spans="1:4" x14ac:dyDescent="0.35">
      <c r="A4341" t="s">
        <v>4422</v>
      </c>
      <c r="B4341">
        <v>67575</v>
      </c>
      <c r="C4341">
        <v>57333</v>
      </c>
      <c r="D4341">
        <v>2</v>
      </c>
    </row>
    <row r="4342" spans="1:4" x14ac:dyDescent="0.35">
      <c r="A4342" t="s">
        <v>4423</v>
      </c>
      <c r="B4342">
        <v>1551</v>
      </c>
      <c r="C4342">
        <v>2</v>
      </c>
      <c r="D4342">
        <v>1</v>
      </c>
    </row>
    <row r="4343" spans="1:4" x14ac:dyDescent="0.35">
      <c r="A4343" t="s">
        <v>4424</v>
      </c>
      <c r="B4343">
        <v>656</v>
      </c>
      <c r="C4343">
        <v>502</v>
      </c>
      <c r="D4343">
        <v>2</v>
      </c>
    </row>
    <row r="4344" spans="1:4" x14ac:dyDescent="0.35">
      <c r="A4344" t="s">
        <v>4425</v>
      </c>
      <c r="B4344">
        <v>4000</v>
      </c>
      <c r="C4344">
        <v>2325</v>
      </c>
      <c r="D4344">
        <v>0</v>
      </c>
    </row>
    <row r="4345" spans="1:4" x14ac:dyDescent="0.35">
      <c r="A4345" t="s">
        <v>4426</v>
      </c>
      <c r="B4345">
        <v>8000</v>
      </c>
      <c r="C4345">
        <v>1002</v>
      </c>
      <c r="D4345">
        <v>0</v>
      </c>
    </row>
    <row r="4346" spans="1:4" x14ac:dyDescent="0.35">
      <c r="A4346" t="s">
        <v>4427</v>
      </c>
      <c r="B4346">
        <v>1563</v>
      </c>
      <c r="C4346">
        <v>2000</v>
      </c>
      <c r="D4346">
        <v>0</v>
      </c>
    </row>
    <row r="4347" spans="1:4" x14ac:dyDescent="0.35">
      <c r="A4347" t="s">
        <v>4428</v>
      </c>
      <c r="B4347">
        <v>548</v>
      </c>
      <c r="C4347">
        <v>543</v>
      </c>
      <c r="D4347">
        <v>6</v>
      </c>
    </row>
    <row r="4348" spans="1:4" x14ac:dyDescent="0.35">
      <c r="A4348" t="s">
        <v>4429</v>
      </c>
      <c r="B4348">
        <v>3737</v>
      </c>
      <c r="C4348">
        <v>3914</v>
      </c>
      <c r="D4348">
        <v>254</v>
      </c>
    </row>
    <row r="4349" spans="1:4" x14ac:dyDescent="0.35">
      <c r="A4349" t="s">
        <v>4430</v>
      </c>
      <c r="B4349">
        <v>10000</v>
      </c>
      <c r="C4349">
        <v>2500</v>
      </c>
      <c r="D4349">
        <v>0</v>
      </c>
    </row>
    <row r="4350" spans="1:4" x14ac:dyDescent="0.35">
      <c r="A4350" t="s">
        <v>4431</v>
      </c>
      <c r="B4350">
        <v>577</v>
      </c>
      <c r="C4350">
        <v>1148</v>
      </c>
      <c r="D4350">
        <v>0</v>
      </c>
    </row>
    <row r="4351" spans="1:4" x14ac:dyDescent="0.35">
      <c r="A4351" t="s">
        <v>4432</v>
      </c>
      <c r="B4351">
        <v>1739</v>
      </c>
      <c r="C4351">
        <v>1000</v>
      </c>
      <c r="D4351">
        <v>2</v>
      </c>
    </row>
    <row r="4352" spans="1:4" x14ac:dyDescent="0.35">
      <c r="A4352" t="s">
        <v>4433</v>
      </c>
      <c r="B4352">
        <v>1327</v>
      </c>
      <c r="C4352">
        <v>1327</v>
      </c>
      <c r="D4352">
        <v>0</v>
      </c>
    </row>
    <row r="4353" spans="1:4" x14ac:dyDescent="0.35">
      <c r="A4353" t="s">
        <v>4434</v>
      </c>
      <c r="B4353">
        <v>18829</v>
      </c>
      <c r="C4353">
        <v>16000</v>
      </c>
      <c r="D4353">
        <v>31</v>
      </c>
    </row>
    <row r="4354" spans="1:4" x14ac:dyDescent="0.35">
      <c r="A4354" t="s">
        <v>4435</v>
      </c>
      <c r="B4354">
        <v>5371</v>
      </c>
      <c r="C4354">
        <v>5104</v>
      </c>
      <c r="D4354">
        <v>8</v>
      </c>
    </row>
    <row r="4355" spans="1:4" x14ac:dyDescent="0.35">
      <c r="A4355" t="s">
        <v>4436</v>
      </c>
      <c r="B4355">
        <v>3078</v>
      </c>
      <c r="C4355">
        <v>1572</v>
      </c>
      <c r="D4355">
        <v>7</v>
      </c>
    </row>
    <row r="4356" spans="1:4" x14ac:dyDescent="0.35">
      <c r="A4356" t="s">
        <v>4437</v>
      </c>
      <c r="B4356">
        <v>2131</v>
      </c>
      <c r="C4356">
        <v>2</v>
      </c>
      <c r="D4356">
        <v>0</v>
      </c>
    </row>
    <row r="4357" spans="1:4" x14ac:dyDescent="0.35">
      <c r="A4357" t="s">
        <v>4438</v>
      </c>
      <c r="B4357">
        <v>1140</v>
      </c>
      <c r="C4357">
        <v>5000</v>
      </c>
      <c r="D4357">
        <v>0</v>
      </c>
    </row>
    <row r="4358" spans="1:4" x14ac:dyDescent="0.35">
      <c r="A4358" t="s">
        <v>4439</v>
      </c>
      <c r="B4358">
        <v>1600</v>
      </c>
      <c r="C4358">
        <v>100</v>
      </c>
      <c r="D4358">
        <v>0</v>
      </c>
    </row>
    <row r="4359" spans="1:4" x14ac:dyDescent="0.35">
      <c r="A4359" t="s">
        <v>4440</v>
      </c>
      <c r="B4359">
        <v>1662</v>
      </c>
      <c r="C4359">
        <v>6359</v>
      </c>
      <c r="D4359">
        <v>0</v>
      </c>
    </row>
    <row r="4360" spans="1:4" x14ac:dyDescent="0.35">
      <c r="A4360" t="s">
        <v>4441</v>
      </c>
      <c r="B4360">
        <v>315</v>
      </c>
      <c r="C4360">
        <v>296</v>
      </c>
      <c r="D4360">
        <v>0</v>
      </c>
    </row>
    <row r="4361" spans="1:4" x14ac:dyDescent="0.35">
      <c r="A4361" t="s">
        <v>4442</v>
      </c>
      <c r="B4361">
        <v>23889</v>
      </c>
      <c r="C4361">
        <v>10000</v>
      </c>
      <c r="D4361">
        <v>2</v>
      </c>
    </row>
    <row r="4362" spans="1:4" x14ac:dyDescent="0.35">
      <c r="A4362" t="s">
        <v>4443</v>
      </c>
      <c r="B4362">
        <v>1054</v>
      </c>
      <c r="C4362">
        <v>1505</v>
      </c>
      <c r="D4362">
        <v>0</v>
      </c>
    </row>
    <row r="4363" spans="1:4" x14ac:dyDescent="0.35">
      <c r="A4363" t="s">
        <v>4444</v>
      </c>
      <c r="B4363">
        <v>5</v>
      </c>
      <c r="C4363">
        <v>7</v>
      </c>
      <c r="D4363">
        <v>500</v>
      </c>
    </row>
    <row r="4364" spans="1:4" x14ac:dyDescent="0.35">
      <c r="A4364" t="s">
        <v>4445</v>
      </c>
      <c r="B4364">
        <v>687</v>
      </c>
      <c r="C4364">
        <v>667</v>
      </c>
      <c r="D4364">
        <v>1245</v>
      </c>
    </row>
    <row r="4365" spans="1:4" x14ac:dyDescent="0.35">
      <c r="A4365" t="s">
        <v>4446</v>
      </c>
      <c r="B4365">
        <v>15</v>
      </c>
      <c r="C4365">
        <v>10</v>
      </c>
      <c r="D4365">
        <v>0</v>
      </c>
    </row>
    <row r="4366" spans="1:4" x14ac:dyDescent="0.35">
      <c r="A4366" t="s">
        <v>4447</v>
      </c>
      <c r="B4366">
        <v>32</v>
      </c>
      <c r="C4366">
        <v>63</v>
      </c>
      <c r="D4366">
        <v>138</v>
      </c>
    </row>
    <row r="4367" spans="1:4" x14ac:dyDescent="0.35">
      <c r="A4367" t="s">
        <v>4448</v>
      </c>
      <c r="B4367">
        <v>17000</v>
      </c>
      <c r="C4367">
        <v>16693</v>
      </c>
      <c r="D4367">
        <v>550</v>
      </c>
    </row>
    <row r="4368" spans="1:4" x14ac:dyDescent="0.35">
      <c r="A4368" t="s">
        <v>4449</v>
      </c>
      <c r="B4368">
        <v>1337</v>
      </c>
      <c r="C4368">
        <v>1271</v>
      </c>
      <c r="D4368">
        <v>44</v>
      </c>
    </row>
    <row r="4369" spans="1:4" x14ac:dyDescent="0.35">
      <c r="A4369" t="s">
        <v>4450</v>
      </c>
      <c r="B4369">
        <v>283</v>
      </c>
      <c r="C4369">
        <v>272</v>
      </c>
      <c r="D4369">
        <v>12</v>
      </c>
    </row>
    <row r="4370" spans="1:4" x14ac:dyDescent="0.35">
      <c r="A4370" t="s">
        <v>4451</v>
      </c>
      <c r="B4370">
        <v>1686</v>
      </c>
      <c r="C4370">
        <v>100000</v>
      </c>
      <c r="D4370">
        <v>0</v>
      </c>
    </row>
    <row r="4371" spans="1:4" x14ac:dyDescent="0.35">
      <c r="A4371" t="s">
        <v>4452</v>
      </c>
      <c r="B4371">
        <v>3079</v>
      </c>
      <c r="C4371">
        <v>10389</v>
      </c>
      <c r="D4371">
        <v>0</v>
      </c>
    </row>
    <row r="4372" spans="1:4" x14ac:dyDescent="0.35">
      <c r="A4372" t="s">
        <v>4453</v>
      </c>
      <c r="B4372">
        <v>1639</v>
      </c>
      <c r="C4372">
        <v>1647</v>
      </c>
      <c r="D4372">
        <v>252</v>
      </c>
    </row>
    <row r="4373" spans="1:4" x14ac:dyDescent="0.35">
      <c r="A4373" t="s">
        <v>4454</v>
      </c>
      <c r="B4373">
        <v>2347</v>
      </c>
      <c r="C4373">
        <v>1000</v>
      </c>
      <c r="D4373">
        <v>1</v>
      </c>
    </row>
    <row r="4374" spans="1:4" x14ac:dyDescent="0.35">
      <c r="A4374" t="s">
        <v>4455</v>
      </c>
      <c r="B4374">
        <v>114</v>
      </c>
      <c r="C4374">
        <v>55</v>
      </c>
      <c r="D4374">
        <v>21462</v>
      </c>
    </row>
    <row r="4375" spans="1:4" x14ac:dyDescent="0.35">
      <c r="A4375" t="s">
        <v>4456</v>
      </c>
      <c r="B4375">
        <v>24</v>
      </c>
      <c r="C4375">
        <v>23</v>
      </c>
      <c r="D4375">
        <v>24015</v>
      </c>
    </row>
    <row r="4376" spans="1:4" x14ac:dyDescent="0.35">
      <c r="A4376" t="s">
        <v>4457</v>
      </c>
      <c r="B4376">
        <v>163</v>
      </c>
      <c r="C4376">
        <v>160</v>
      </c>
      <c r="D4376">
        <v>1950</v>
      </c>
    </row>
    <row r="4377" spans="1:4" x14ac:dyDescent="0.35">
      <c r="A4377" t="s">
        <v>4458</v>
      </c>
      <c r="B4377">
        <v>66</v>
      </c>
      <c r="C4377">
        <v>62</v>
      </c>
      <c r="D4377">
        <v>11667</v>
      </c>
    </row>
    <row r="4378" spans="1:4" x14ac:dyDescent="0.35">
      <c r="A4378" t="s">
        <v>4459</v>
      </c>
      <c r="B4378">
        <v>3035</v>
      </c>
      <c r="C4378">
        <v>2014</v>
      </c>
      <c r="D4378">
        <v>1</v>
      </c>
    </row>
    <row r="4379" spans="1:4" x14ac:dyDescent="0.35">
      <c r="A4379" t="s">
        <v>4460</v>
      </c>
      <c r="B4379">
        <v>27</v>
      </c>
      <c r="C4379">
        <v>1</v>
      </c>
      <c r="D4379">
        <v>2417</v>
      </c>
    </row>
    <row r="4380" spans="1:4" x14ac:dyDescent="0.35">
      <c r="A4380" t="s">
        <v>4461</v>
      </c>
      <c r="B4380">
        <v>494</v>
      </c>
      <c r="C4380">
        <v>547</v>
      </c>
      <c r="D4380">
        <v>165</v>
      </c>
    </row>
    <row r="4381" spans="1:4" x14ac:dyDescent="0.35">
      <c r="A4381" t="s">
        <v>4462</v>
      </c>
      <c r="B4381">
        <v>133</v>
      </c>
      <c r="C4381">
        <v>100</v>
      </c>
      <c r="D4381">
        <v>944</v>
      </c>
    </row>
    <row r="4382" spans="1:4" x14ac:dyDescent="0.35">
      <c r="A4382" t="s">
        <v>4463</v>
      </c>
      <c r="B4382">
        <v>40</v>
      </c>
      <c r="C4382">
        <v>40</v>
      </c>
      <c r="D4382">
        <v>8</v>
      </c>
    </row>
    <row r="4383" spans="1:4" x14ac:dyDescent="0.35">
      <c r="A4383" t="s">
        <v>4464</v>
      </c>
      <c r="B4383">
        <v>89</v>
      </c>
      <c r="C4383">
        <v>89</v>
      </c>
      <c r="D4383">
        <v>340</v>
      </c>
    </row>
    <row r="4384" spans="1:4" x14ac:dyDescent="0.35">
      <c r="A4384" t="s">
        <v>4465</v>
      </c>
      <c r="B4384">
        <v>26</v>
      </c>
      <c r="C4384">
        <v>35</v>
      </c>
      <c r="D4384">
        <v>417</v>
      </c>
    </row>
    <row r="4385" spans="1:4" x14ac:dyDescent="0.35">
      <c r="A4385" t="s">
        <v>4466</v>
      </c>
      <c r="B4385">
        <v>33</v>
      </c>
      <c r="C4385">
        <v>7</v>
      </c>
      <c r="D4385">
        <v>0</v>
      </c>
    </row>
    <row r="4386" spans="1:4" x14ac:dyDescent="0.35">
      <c r="A4386" t="s">
        <v>66</v>
      </c>
      <c r="B4386">
        <v>967</v>
      </c>
      <c r="C4386">
        <v>941</v>
      </c>
      <c r="D4386">
        <v>10237</v>
      </c>
    </row>
    <row r="4387" spans="1:4" x14ac:dyDescent="0.35">
      <c r="A4387" t="s">
        <v>4467</v>
      </c>
      <c r="B4387">
        <v>7499</v>
      </c>
      <c r="C4387">
        <v>1800</v>
      </c>
      <c r="D4387">
        <v>0</v>
      </c>
    </row>
    <row r="4388" spans="1:4" x14ac:dyDescent="0.35">
      <c r="A4388" t="s">
        <v>4468</v>
      </c>
      <c r="B4388">
        <v>116440</v>
      </c>
      <c r="C4388">
        <v>114707</v>
      </c>
      <c r="D4388">
        <v>24</v>
      </c>
    </row>
    <row r="4389" spans="1:4" x14ac:dyDescent="0.35">
      <c r="A4389" t="s">
        <v>4469</v>
      </c>
      <c r="B4389">
        <v>197</v>
      </c>
      <c r="C4389">
        <v>264</v>
      </c>
      <c r="D4389">
        <v>28</v>
      </c>
    </row>
    <row r="4390" spans="1:4" x14ac:dyDescent="0.35">
      <c r="A4390" t="s">
        <v>4470</v>
      </c>
      <c r="B4390">
        <v>128</v>
      </c>
      <c r="C4390">
        <v>128</v>
      </c>
      <c r="D4390">
        <v>17</v>
      </c>
    </row>
    <row r="4391" spans="1:4" x14ac:dyDescent="0.35">
      <c r="A4391" t="s">
        <v>4471</v>
      </c>
      <c r="B4391">
        <v>75</v>
      </c>
      <c r="C4391">
        <v>75</v>
      </c>
      <c r="D4391">
        <v>17</v>
      </c>
    </row>
    <row r="4392" spans="1:4" x14ac:dyDescent="0.35">
      <c r="A4392" t="s">
        <v>4472</v>
      </c>
      <c r="B4392">
        <v>18</v>
      </c>
      <c r="C4392">
        <v>4</v>
      </c>
      <c r="D4392">
        <v>225</v>
      </c>
    </row>
    <row r="4393" spans="1:4" x14ac:dyDescent="0.35">
      <c r="A4393" t="s">
        <v>4473</v>
      </c>
      <c r="B4393">
        <v>437</v>
      </c>
      <c r="C4393">
        <v>401</v>
      </c>
      <c r="D4393">
        <v>44</v>
      </c>
    </row>
    <row r="4394" spans="1:4" x14ac:dyDescent="0.35">
      <c r="A4394" t="s">
        <v>4474</v>
      </c>
      <c r="B4394">
        <v>25000</v>
      </c>
      <c r="C4394">
        <v>17707</v>
      </c>
      <c r="D4394">
        <v>7</v>
      </c>
    </row>
    <row r="4395" spans="1:4" x14ac:dyDescent="0.35">
      <c r="A4395" t="s">
        <v>4475</v>
      </c>
      <c r="B4395">
        <v>2336</v>
      </c>
      <c r="C4395">
        <v>2394</v>
      </c>
      <c r="D4395">
        <v>0</v>
      </c>
    </row>
    <row r="4396" spans="1:4" x14ac:dyDescent="0.35">
      <c r="A4396" t="s">
        <v>4476</v>
      </c>
      <c r="B4396">
        <v>133</v>
      </c>
      <c r="C4396">
        <v>163</v>
      </c>
      <c r="D4396">
        <v>168</v>
      </c>
    </row>
    <row r="4397" spans="1:4" x14ac:dyDescent="0.35">
      <c r="A4397" t="s">
        <v>4477</v>
      </c>
      <c r="B4397">
        <v>9998</v>
      </c>
      <c r="C4397">
        <v>9999</v>
      </c>
      <c r="D4397">
        <v>2</v>
      </c>
    </row>
    <row r="4398" spans="1:4" x14ac:dyDescent="0.35">
      <c r="A4398" t="s">
        <v>4478</v>
      </c>
      <c r="B4398">
        <v>0</v>
      </c>
      <c r="C4398">
        <v>0</v>
      </c>
      <c r="D4398">
        <v>0</v>
      </c>
    </row>
    <row r="4399" spans="1:4" x14ac:dyDescent="0.35">
      <c r="A4399" t="s">
        <v>4479</v>
      </c>
      <c r="B4399">
        <v>8000</v>
      </c>
      <c r="C4399">
        <v>7305</v>
      </c>
      <c r="D4399">
        <v>2</v>
      </c>
    </row>
    <row r="4400" spans="1:4" x14ac:dyDescent="0.35">
      <c r="A4400" t="s">
        <v>4480</v>
      </c>
      <c r="B4400">
        <v>0</v>
      </c>
      <c r="C4400">
        <v>0</v>
      </c>
      <c r="D4400">
        <v>0</v>
      </c>
    </row>
    <row r="4401" spans="1:4" x14ac:dyDescent="0.35">
      <c r="A4401" t="s">
        <v>4481</v>
      </c>
      <c r="B4401">
        <v>2</v>
      </c>
      <c r="C4401">
        <v>2</v>
      </c>
      <c r="D4401">
        <v>0</v>
      </c>
    </row>
    <row r="4402" spans="1:4" x14ac:dyDescent="0.35">
      <c r="A4402" t="s">
        <v>4482</v>
      </c>
      <c r="B4402">
        <v>1104</v>
      </c>
      <c r="C4402">
        <v>3056</v>
      </c>
      <c r="D4402">
        <v>0</v>
      </c>
    </row>
    <row r="4403" spans="1:4" x14ac:dyDescent="0.35">
      <c r="A4403" t="s">
        <v>4483</v>
      </c>
      <c r="B4403">
        <v>1</v>
      </c>
      <c r="C4403">
        <v>1</v>
      </c>
      <c r="D4403">
        <v>0</v>
      </c>
    </row>
    <row r="4404" spans="1:4" x14ac:dyDescent="0.35">
      <c r="A4404" t="s">
        <v>4484</v>
      </c>
      <c r="B4404">
        <v>3600</v>
      </c>
      <c r="C4404">
        <v>3500</v>
      </c>
      <c r="D4404">
        <v>30</v>
      </c>
    </row>
    <row r="4405" spans="1:4" x14ac:dyDescent="0.35">
      <c r="A4405" t="s">
        <v>4485</v>
      </c>
      <c r="B4405">
        <v>1396</v>
      </c>
      <c r="C4405">
        <v>1845</v>
      </c>
      <c r="D4405">
        <v>0</v>
      </c>
    </row>
    <row r="4406" spans="1:4" x14ac:dyDescent="0.35">
      <c r="A4406" t="s">
        <v>4486</v>
      </c>
      <c r="B4406">
        <v>40</v>
      </c>
      <c r="C4406">
        <v>20</v>
      </c>
      <c r="D4406">
        <v>80</v>
      </c>
    </row>
    <row r="4407" spans="1:4" x14ac:dyDescent="0.35">
      <c r="A4407" t="s">
        <v>4487</v>
      </c>
      <c r="B4407">
        <v>165</v>
      </c>
      <c r="C4407">
        <v>150</v>
      </c>
      <c r="D4407">
        <v>4</v>
      </c>
    </row>
    <row r="4408" spans="1:4" x14ac:dyDescent="0.35">
      <c r="A4408" t="s">
        <v>4488</v>
      </c>
      <c r="B4408">
        <v>110000</v>
      </c>
      <c r="C4408">
        <v>94200</v>
      </c>
      <c r="D4408">
        <v>3</v>
      </c>
    </row>
    <row r="4409" spans="1:4" x14ac:dyDescent="0.35">
      <c r="A4409" t="s">
        <v>4489</v>
      </c>
      <c r="B4409">
        <v>2000</v>
      </c>
      <c r="C4409">
        <v>163</v>
      </c>
      <c r="D4409">
        <v>0</v>
      </c>
    </row>
    <row r="4410" spans="1:4" x14ac:dyDescent="0.35">
      <c r="A4410" t="s">
        <v>4490</v>
      </c>
      <c r="B4410">
        <v>10</v>
      </c>
      <c r="C4410">
        <v>10</v>
      </c>
      <c r="D4410">
        <v>2</v>
      </c>
    </row>
    <row r="4411" spans="1:4" x14ac:dyDescent="0.35">
      <c r="A4411" t="s">
        <v>4491</v>
      </c>
      <c r="B4411">
        <v>17</v>
      </c>
      <c r="C4411">
        <v>13</v>
      </c>
      <c r="D4411">
        <v>19228</v>
      </c>
    </row>
    <row r="4412" spans="1:4" x14ac:dyDescent="0.35">
      <c r="A4412" t="s">
        <v>4492</v>
      </c>
      <c r="B4412">
        <v>1474</v>
      </c>
      <c r="C4412">
        <v>3982</v>
      </c>
      <c r="D4412">
        <v>0</v>
      </c>
    </row>
    <row r="4413" spans="1:4" x14ac:dyDescent="0.35">
      <c r="A4413" t="s">
        <v>4493</v>
      </c>
      <c r="B4413">
        <v>2901</v>
      </c>
      <c r="C4413">
        <v>364</v>
      </c>
      <c r="D4413">
        <v>0</v>
      </c>
    </row>
    <row r="4414" spans="1:4" x14ac:dyDescent="0.35">
      <c r="A4414" t="s">
        <v>4494</v>
      </c>
      <c r="B4414">
        <v>1700</v>
      </c>
      <c r="C4414">
        <v>3</v>
      </c>
      <c r="D4414">
        <v>0</v>
      </c>
    </row>
    <row r="4415" spans="1:4" x14ac:dyDescent="0.35">
      <c r="A4415" t="s">
        <v>4495</v>
      </c>
      <c r="B4415">
        <v>999</v>
      </c>
      <c r="C4415">
        <v>50</v>
      </c>
      <c r="D4415">
        <v>20</v>
      </c>
    </row>
    <row r="4416" spans="1:4" x14ac:dyDescent="0.35">
      <c r="A4416" t="s">
        <v>4496</v>
      </c>
      <c r="B4416">
        <v>845</v>
      </c>
      <c r="C4416">
        <v>956</v>
      </c>
      <c r="D4416">
        <v>0</v>
      </c>
    </row>
    <row r="4417" spans="1:4" x14ac:dyDescent="0.35">
      <c r="A4417" t="s">
        <v>4497</v>
      </c>
      <c r="B4417">
        <v>695</v>
      </c>
      <c r="C4417">
        <v>50</v>
      </c>
      <c r="D4417">
        <v>0</v>
      </c>
    </row>
    <row r="4418" spans="1:4" x14ac:dyDescent="0.35">
      <c r="A4418" t="s">
        <v>4498</v>
      </c>
      <c r="B4418">
        <v>9065</v>
      </c>
      <c r="C4418">
        <v>9065</v>
      </c>
      <c r="D4418">
        <v>2</v>
      </c>
    </row>
    <row r="4419" spans="1:4" x14ac:dyDescent="0.35">
      <c r="A4419" t="s">
        <v>4499</v>
      </c>
      <c r="B4419">
        <v>297</v>
      </c>
      <c r="C4419">
        <v>294</v>
      </c>
      <c r="D4419">
        <v>240465</v>
      </c>
    </row>
    <row r="4420" spans="1:4" x14ac:dyDescent="0.35">
      <c r="A4420" t="s">
        <v>4500</v>
      </c>
      <c r="B4420">
        <v>370</v>
      </c>
      <c r="C4420">
        <v>370</v>
      </c>
      <c r="D4420">
        <v>67</v>
      </c>
    </row>
    <row r="4421" spans="1:4" x14ac:dyDescent="0.35">
      <c r="A4421" t="s">
        <v>4501</v>
      </c>
      <c r="B4421">
        <v>1500</v>
      </c>
      <c r="C4421">
        <v>154</v>
      </c>
      <c r="D4421">
        <v>0</v>
      </c>
    </row>
    <row r="4422" spans="1:4" x14ac:dyDescent="0.35">
      <c r="A4422" t="s">
        <v>4502</v>
      </c>
      <c r="B4422">
        <v>1302</v>
      </c>
      <c r="C4422">
        <v>1270</v>
      </c>
      <c r="D4422">
        <v>841</v>
      </c>
    </row>
    <row r="4423" spans="1:4" x14ac:dyDescent="0.35">
      <c r="A4423" t="s">
        <v>4503</v>
      </c>
      <c r="B4423">
        <v>294</v>
      </c>
      <c r="C4423">
        <v>300</v>
      </c>
      <c r="D4423">
        <v>5458</v>
      </c>
    </row>
    <row r="4424" spans="1:4" x14ac:dyDescent="0.35">
      <c r="A4424" t="s">
        <v>4504</v>
      </c>
      <c r="B4424">
        <v>2311</v>
      </c>
      <c r="C4424">
        <v>2153</v>
      </c>
      <c r="D4424">
        <v>4480</v>
      </c>
    </row>
    <row r="4425" spans="1:4" x14ac:dyDescent="0.35">
      <c r="A4425" t="s">
        <v>4505</v>
      </c>
      <c r="B4425">
        <v>27000000</v>
      </c>
      <c r="C4425">
        <v>25854270</v>
      </c>
      <c r="D4425">
        <v>0</v>
      </c>
    </row>
    <row r="4426" spans="1:4" x14ac:dyDescent="0.35">
      <c r="A4426" t="s">
        <v>4506</v>
      </c>
      <c r="B4426">
        <v>2127</v>
      </c>
      <c r="C4426">
        <v>2115</v>
      </c>
      <c r="D4426">
        <v>60</v>
      </c>
    </row>
    <row r="4427" spans="1:4" x14ac:dyDescent="0.35">
      <c r="A4427" t="s">
        <v>4507</v>
      </c>
      <c r="B4427">
        <v>6874</v>
      </c>
      <c r="C4427">
        <v>5640</v>
      </c>
      <c r="D4427">
        <v>11</v>
      </c>
    </row>
    <row r="4428" spans="1:4" x14ac:dyDescent="0.35">
      <c r="A4428" t="s">
        <v>4508</v>
      </c>
      <c r="B4428">
        <v>7942</v>
      </c>
      <c r="C4428">
        <v>7042</v>
      </c>
      <c r="D4428">
        <v>36</v>
      </c>
    </row>
    <row r="4429" spans="1:4" x14ac:dyDescent="0.35">
      <c r="A4429" t="s">
        <v>4509</v>
      </c>
      <c r="B4429">
        <v>8312</v>
      </c>
      <c r="C4429">
        <v>8090</v>
      </c>
      <c r="D4429">
        <v>24</v>
      </c>
    </row>
    <row r="4430" spans="1:4" x14ac:dyDescent="0.35">
      <c r="A4430" t="s">
        <v>4510</v>
      </c>
      <c r="B4430">
        <v>418</v>
      </c>
      <c r="C4430">
        <v>417</v>
      </c>
      <c r="D4430">
        <v>0</v>
      </c>
    </row>
    <row r="4431" spans="1:4" x14ac:dyDescent="0.35">
      <c r="A4431" t="s">
        <v>4511</v>
      </c>
      <c r="B4431">
        <v>500</v>
      </c>
      <c r="C4431">
        <v>376</v>
      </c>
      <c r="D4431">
        <v>12</v>
      </c>
    </row>
    <row r="4432" spans="1:4" x14ac:dyDescent="0.35">
      <c r="A4432" t="s">
        <v>4512</v>
      </c>
      <c r="B4432">
        <v>1850</v>
      </c>
      <c r="C4432">
        <v>600</v>
      </c>
      <c r="D4432">
        <v>13</v>
      </c>
    </row>
    <row r="4433" spans="1:4" x14ac:dyDescent="0.35">
      <c r="A4433" t="s">
        <v>4513</v>
      </c>
      <c r="B4433">
        <v>669</v>
      </c>
      <c r="C4433">
        <v>656</v>
      </c>
      <c r="D4433">
        <v>4422</v>
      </c>
    </row>
    <row r="4434" spans="1:4" x14ac:dyDescent="0.35">
      <c r="A4434" t="s">
        <v>4514</v>
      </c>
      <c r="B4434">
        <v>6</v>
      </c>
      <c r="C4434">
        <v>5</v>
      </c>
      <c r="D4434">
        <v>2970</v>
      </c>
    </row>
    <row r="4435" spans="1:4" x14ac:dyDescent="0.35">
      <c r="A4435" t="s">
        <v>4515</v>
      </c>
      <c r="B4435">
        <v>2499</v>
      </c>
      <c r="C4435">
        <v>2494</v>
      </c>
      <c r="D4435">
        <v>21</v>
      </c>
    </row>
    <row r="4436" spans="1:4" x14ac:dyDescent="0.35">
      <c r="A4436" t="s">
        <v>4516</v>
      </c>
      <c r="B4436">
        <v>3223</v>
      </c>
      <c r="C4436">
        <v>2476</v>
      </c>
      <c r="D4436">
        <v>4</v>
      </c>
    </row>
    <row r="4437" spans="1:4" x14ac:dyDescent="0.35">
      <c r="A4437" t="s">
        <v>4517</v>
      </c>
      <c r="B4437">
        <v>250</v>
      </c>
      <c r="C4437">
        <v>148</v>
      </c>
      <c r="D4437">
        <v>1</v>
      </c>
    </row>
    <row r="4438" spans="1:4" x14ac:dyDescent="0.35">
      <c r="A4438" t="s">
        <v>4518</v>
      </c>
      <c r="B4438">
        <v>450000</v>
      </c>
      <c r="C4438">
        <v>305010</v>
      </c>
      <c r="D4438">
        <v>0</v>
      </c>
    </row>
    <row r="4439" spans="1:4" x14ac:dyDescent="0.35">
      <c r="A4439" t="s">
        <v>4519</v>
      </c>
      <c r="B4439">
        <v>180</v>
      </c>
      <c r="C4439">
        <v>228</v>
      </c>
      <c r="D4439">
        <v>75</v>
      </c>
    </row>
    <row r="4440" spans="1:4" x14ac:dyDescent="0.35">
      <c r="A4440" t="s">
        <v>4520</v>
      </c>
      <c r="B4440">
        <v>88</v>
      </c>
      <c r="C4440">
        <v>74</v>
      </c>
      <c r="D4440">
        <v>12</v>
      </c>
    </row>
    <row r="4441" spans="1:4" x14ac:dyDescent="0.35">
      <c r="A4441" t="s">
        <v>130</v>
      </c>
      <c r="B4441">
        <v>225</v>
      </c>
      <c r="C4441">
        <v>225</v>
      </c>
      <c r="D4441">
        <v>5532</v>
      </c>
    </row>
    <row r="4442" spans="1:4" x14ac:dyDescent="0.35">
      <c r="A4442" t="s">
        <v>4521</v>
      </c>
      <c r="B4442">
        <v>190</v>
      </c>
      <c r="C4442">
        <v>186</v>
      </c>
      <c r="D4442">
        <v>0</v>
      </c>
    </row>
    <row r="4443" spans="1:4" x14ac:dyDescent="0.35">
      <c r="A4443" t="s">
        <v>4522</v>
      </c>
      <c r="B4443">
        <v>1852</v>
      </c>
      <c r="C4443">
        <v>1300</v>
      </c>
      <c r="D4443">
        <v>5</v>
      </c>
    </row>
    <row r="4444" spans="1:4" x14ac:dyDescent="0.35">
      <c r="A4444" t="s">
        <v>4523</v>
      </c>
      <c r="B4444">
        <v>2104</v>
      </c>
      <c r="C4444">
        <v>2000</v>
      </c>
      <c r="D4444">
        <v>3</v>
      </c>
    </row>
    <row r="4445" spans="1:4" x14ac:dyDescent="0.35">
      <c r="A4445" t="s">
        <v>4524</v>
      </c>
      <c r="B4445">
        <v>10000</v>
      </c>
      <c r="C4445">
        <v>8501</v>
      </c>
      <c r="D4445">
        <v>21</v>
      </c>
    </row>
    <row r="4446" spans="1:4" x14ac:dyDescent="0.35">
      <c r="A4446" t="s">
        <v>4525</v>
      </c>
      <c r="B4446">
        <v>925</v>
      </c>
      <c r="C4446">
        <v>973</v>
      </c>
      <c r="D4446">
        <v>0</v>
      </c>
    </row>
    <row r="4447" spans="1:4" x14ac:dyDescent="0.35">
      <c r="A4447" t="s">
        <v>4526</v>
      </c>
      <c r="B4447">
        <v>14500</v>
      </c>
      <c r="C4447">
        <v>4537</v>
      </c>
      <c r="D4447">
        <v>0</v>
      </c>
    </row>
    <row r="4448" spans="1:4" x14ac:dyDescent="0.35">
      <c r="A4448" t="s">
        <v>4527</v>
      </c>
      <c r="B4448">
        <v>691</v>
      </c>
      <c r="C4448">
        <v>510</v>
      </c>
      <c r="D4448">
        <v>0</v>
      </c>
    </row>
    <row r="4449" spans="1:4" x14ac:dyDescent="0.35">
      <c r="A4449" t="s">
        <v>4528</v>
      </c>
      <c r="B4449">
        <v>1360</v>
      </c>
      <c r="C4449">
        <v>1177</v>
      </c>
      <c r="D4449">
        <v>438</v>
      </c>
    </row>
    <row r="4450" spans="1:4" x14ac:dyDescent="0.35">
      <c r="A4450" t="s">
        <v>4529</v>
      </c>
      <c r="B4450">
        <v>953</v>
      </c>
      <c r="C4450">
        <v>761</v>
      </c>
      <c r="D4450">
        <v>0</v>
      </c>
    </row>
    <row r="4451" spans="1:4" x14ac:dyDescent="0.35">
      <c r="A4451" t="s">
        <v>4530</v>
      </c>
      <c r="B4451">
        <v>354</v>
      </c>
      <c r="C4451">
        <v>350</v>
      </c>
      <c r="D4451">
        <v>14358</v>
      </c>
    </row>
    <row r="4452" spans="1:4" x14ac:dyDescent="0.35">
      <c r="A4452" t="s">
        <v>4531</v>
      </c>
      <c r="B4452">
        <v>130</v>
      </c>
      <c r="C4452">
        <v>128</v>
      </c>
      <c r="D4452">
        <v>416024</v>
      </c>
    </row>
    <row r="4453" spans="1:4" x14ac:dyDescent="0.35">
      <c r="A4453" t="s">
        <v>4532</v>
      </c>
      <c r="B4453">
        <v>483</v>
      </c>
      <c r="C4453">
        <v>483</v>
      </c>
      <c r="D4453">
        <v>26035</v>
      </c>
    </row>
    <row r="4454" spans="1:4" x14ac:dyDescent="0.35">
      <c r="A4454" t="s">
        <v>4533</v>
      </c>
      <c r="B4454">
        <v>255</v>
      </c>
      <c r="C4454">
        <v>252</v>
      </c>
      <c r="D4454">
        <v>55895</v>
      </c>
    </row>
    <row r="4455" spans="1:4" x14ac:dyDescent="0.35">
      <c r="A4455" t="s">
        <v>4534</v>
      </c>
      <c r="B4455">
        <v>5000</v>
      </c>
      <c r="C4455">
        <v>3731</v>
      </c>
      <c r="D4455">
        <v>6</v>
      </c>
    </row>
    <row r="4456" spans="1:4" x14ac:dyDescent="0.35">
      <c r="A4456" t="s">
        <v>178</v>
      </c>
      <c r="B4456">
        <v>300</v>
      </c>
      <c r="C4456">
        <v>298</v>
      </c>
      <c r="D4456">
        <v>182</v>
      </c>
    </row>
    <row r="4457" spans="1:4" x14ac:dyDescent="0.35">
      <c r="A4457" t="s">
        <v>4535</v>
      </c>
      <c r="B4457">
        <v>34915</v>
      </c>
      <c r="C4457">
        <v>34000</v>
      </c>
      <c r="D4457">
        <v>980</v>
      </c>
    </row>
    <row r="4458" spans="1:4" x14ac:dyDescent="0.35">
      <c r="A4458" t="s">
        <v>4536</v>
      </c>
      <c r="B4458">
        <v>32998</v>
      </c>
      <c r="C4458">
        <v>31668</v>
      </c>
      <c r="D4458">
        <v>1124</v>
      </c>
    </row>
    <row r="4459" spans="1:4" x14ac:dyDescent="0.35">
      <c r="A4459" t="s">
        <v>4537</v>
      </c>
      <c r="B4459">
        <v>245</v>
      </c>
      <c r="C4459">
        <v>320</v>
      </c>
      <c r="D4459">
        <v>0</v>
      </c>
    </row>
    <row r="4460" spans="1:4" x14ac:dyDescent="0.35">
      <c r="A4460" t="s">
        <v>4538</v>
      </c>
      <c r="B4460">
        <v>417</v>
      </c>
      <c r="C4460">
        <v>416</v>
      </c>
      <c r="D4460">
        <v>528</v>
      </c>
    </row>
    <row r="4461" spans="1:4" x14ac:dyDescent="0.35">
      <c r="A4461" t="s">
        <v>4539</v>
      </c>
      <c r="B4461">
        <v>189</v>
      </c>
      <c r="C4461">
        <v>192</v>
      </c>
      <c r="D4461">
        <v>5555</v>
      </c>
    </row>
    <row r="4462" spans="1:4" x14ac:dyDescent="0.35">
      <c r="A4462" t="s">
        <v>4540</v>
      </c>
      <c r="B4462">
        <v>58</v>
      </c>
      <c r="C4462">
        <v>50</v>
      </c>
      <c r="D4462">
        <v>0</v>
      </c>
    </row>
    <row r="4463" spans="1:4" x14ac:dyDescent="0.35">
      <c r="A4463" t="s">
        <v>4541</v>
      </c>
      <c r="B4463">
        <v>1392</v>
      </c>
      <c r="C4463">
        <v>1305</v>
      </c>
      <c r="D4463">
        <v>1166</v>
      </c>
    </row>
    <row r="4464" spans="1:4" x14ac:dyDescent="0.35">
      <c r="A4464" t="s">
        <v>4542</v>
      </c>
      <c r="B4464">
        <v>76018</v>
      </c>
      <c r="C4464">
        <v>55003</v>
      </c>
      <c r="D4464">
        <v>1</v>
      </c>
    </row>
    <row r="4465" spans="1:4" x14ac:dyDescent="0.35">
      <c r="A4465" t="s">
        <v>4543</v>
      </c>
      <c r="B4465">
        <v>851872</v>
      </c>
      <c r="C4465">
        <v>824742</v>
      </c>
      <c r="D4465">
        <v>6</v>
      </c>
    </row>
    <row r="4466" spans="1:4" x14ac:dyDescent="0.35">
      <c r="A4466" t="s">
        <v>4544</v>
      </c>
      <c r="B4466">
        <v>873731</v>
      </c>
      <c r="C4466">
        <v>812862</v>
      </c>
      <c r="D4466">
        <v>0</v>
      </c>
    </row>
    <row r="4467" spans="1:4" x14ac:dyDescent="0.35">
      <c r="A4467" t="s">
        <v>4545</v>
      </c>
      <c r="B4467">
        <v>121898</v>
      </c>
      <c r="C4467">
        <v>116822</v>
      </c>
      <c r="D4467">
        <v>13</v>
      </c>
    </row>
    <row r="4468" spans="1:4" x14ac:dyDescent="0.35">
      <c r="A4468" t="s">
        <v>4546</v>
      </c>
      <c r="B4468">
        <v>410</v>
      </c>
      <c r="C4468">
        <v>150</v>
      </c>
      <c r="D4468">
        <v>1</v>
      </c>
    </row>
    <row r="4469" spans="1:4" x14ac:dyDescent="0.35">
      <c r="A4469" t="s">
        <v>4547</v>
      </c>
      <c r="B4469">
        <v>665</v>
      </c>
      <c r="C4469">
        <v>200</v>
      </c>
      <c r="D4469">
        <v>0</v>
      </c>
    </row>
    <row r="4470" spans="1:4" x14ac:dyDescent="0.35">
      <c r="A4470" t="s">
        <v>4548</v>
      </c>
      <c r="B4470">
        <v>352</v>
      </c>
      <c r="C4470">
        <v>388</v>
      </c>
      <c r="D4470">
        <v>84</v>
      </c>
    </row>
    <row r="4471" spans="1:4" x14ac:dyDescent="0.35">
      <c r="A4471" t="s">
        <v>4549</v>
      </c>
      <c r="B4471">
        <v>889</v>
      </c>
      <c r="C4471">
        <v>649</v>
      </c>
      <c r="D4471">
        <v>358</v>
      </c>
    </row>
    <row r="4472" spans="1:4" x14ac:dyDescent="0.35">
      <c r="A4472" t="s">
        <v>4550</v>
      </c>
      <c r="B4472">
        <v>223039</v>
      </c>
      <c r="C4472">
        <v>214670</v>
      </c>
      <c r="D4472">
        <v>13</v>
      </c>
    </row>
    <row r="4473" spans="1:4" x14ac:dyDescent="0.35">
      <c r="A4473" t="s">
        <v>4551</v>
      </c>
      <c r="B4473">
        <v>20000</v>
      </c>
      <c r="C4473">
        <v>13750</v>
      </c>
      <c r="D4473">
        <v>3</v>
      </c>
    </row>
    <row r="4474" spans="1:4" x14ac:dyDescent="0.35">
      <c r="A4474" t="s">
        <v>4552</v>
      </c>
      <c r="B4474">
        <v>58939</v>
      </c>
      <c r="C4474">
        <v>52000</v>
      </c>
      <c r="D4474">
        <v>4</v>
      </c>
    </row>
    <row r="4475" spans="1:4" x14ac:dyDescent="0.35">
      <c r="A4475" t="s">
        <v>4553</v>
      </c>
      <c r="B4475">
        <v>7500</v>
      </c>
      <c r="C4475">
        <v>2600</v>
      </c>
      <c r="D4475">
        <v>2</v>
      </c>
    </row>
    <row r="4476" spans="1:4" x14ac:dyDescent="0.35">
      <c r="A4476" t="s">
        <v>4554</v>
      </c>
      <c r="B4476">
        <v>110039</v>
      </c>
      <c r="C4476">
        <v>105162</v>
      </c>
      <c r="D4476">
        <v>14</v>
      </c>
    </row>
    <row r="4477" spans="1:4" x14ac:dyDescent="0.35">
      <c r="A4477" t="s">
        <v>4555</v>
      </c>
      <c r="B4477">
        <v>429934</v>
      </c>
      <c r="C4477">
        <v>391731</v>
      </c>
      <c r="D4477">
        <v>29</v>
      </c>
    </row>
    <row r="4478" spans="1:4" x14ac:dyDescent="0.35">
      <c r="A4478" t="s">
        <v>4556</v>
      </c>
      <c r="B4478">
        <v>386940</v>
      </c>
      <c r="C4478">
        <v>356000</v>
      </c>
      <c r="D4478">
        <v>1</v>
      </c>
    </row>
    <row r="4479" spans="1:4" x14ac:dyDescent="0.35">
      <c r="A4479" t="s">
        <v>4557</v>
      </c>
      <c r="B4479">
        <v>500000</v>
      </c>
      <c r="C4479">
        <v>513121</v>
      </c>
      <c r="D4479">
        <v>2</v>
      </c>
    </row>
    <row r="4480" spans="1:4" x14ac:dyDescent="0.35">
      <c r="A4480" t="s">
        <v>4558</v>
      </c>
      <c r="B4480">
        <v>691099</v>
      </c>
      <c r="C4480">
        <v>671047</v>
      </c>
      <c r="D4480">
        <v>14</v>
      </c>
    </row>
    <row r="4481" spans="1:4" x14ac:dyDescent="0.35">
      <c r="A4481" t="s">
        <v>4559</v>
      </c>
      <c r="B4481">
        <v>18420183</v>
      </c>
      <c r="C4481">
        <v>17923574</v>
      </c>
      <c r="D4481">
        <v>14</v>
      </c>
    </row>
    <row r="4482" spans="1:4" x14ac:dyDescent="0.35">
      <c r="A4482" t="s">
        <v>4560</v>
      </c>
      <c r="B4482">
        <v>439658</v>
      </c>
      <c r="C4482">
        <v>354561</v>
      </c>
      <c r="D4482">
        <v>0</v>
      </c>
    </row>
    <row r="4483" spans="1:4" x14ac:dyDescent="0.35">
      <c r="A4483" t="s">
        <v>4561</v>
      </c>
      <c r="B4483">
        <v>16876871</v>
      </c>
      <c r="C4483">
        <v>17173069</v>
      </c>
      <c r="D4483">
        <v>3</v>
      </c>
    </row>
    <row r="4484" spans="1:4" x14ac:dyDescent="0.35">
      <c r="A4484" t="s">
        <v>4562</v>
      </c>
      <c r="B4484">
        <v>54901</v>
      </c>
      <c r="C4484">
        <v>53155</v>
      </c>
      <c r="D4484">
        <v>7</v>
      </c>
    </row>
    <row r="4485" spans="1:4" x14ac:dyDescent="0.35">
      <c r="A4485" t="s">
        <v>4563</v>
      </c>
      <c r="B4485">
        <v>11200</v>
      </c>
      <c r="C4485">
        <v>10799</v>
      </c>
      <c r="D4485">
        <v>6</v>
      </c>
    </row>
    <row r="4486" spans="1:4" x14ac:dyDescent="0.35">
      <c r="A4486" t="s">
        <v>4564</v>
      </c>
      <c r="B4486">
        <v>72</v>
      </c>
      <c r="C4486">
        <v>72</v>
      </c>
      <c r="D4486">
        <v>0</v>
      </c>
    </row>
    <row r="4487" spans="1:4" x14ac:dyDescent="0.35">
      <c r="A4487" t="s">
        <v>4565</v>
      </c>
      <c r="B4487">
        <v>475</v>
      </c>
      <c r="C4487">
        <v>472</v>
      </c>
      <c r="D4487">
        <v>27</v>
      </c>
    </row>
    <row r="4488" spans="1:4" x14ac:dyDescent="0.35">
      <c r="A4488" t="s">
        <v>4566</v>
      </c>
      <c r="B4488">
        <v>9820</v>
      </c>
      <c r="C4488">
        <v>7113</v>
      </c>
      <c r="D4488">
        <v>0</v>
      </c>
    </row>
    <row r="4489" spans="1:4" x14ac:dyDescent="0.35">
      <c r="A4489" t="s">
        <v>4567</v>
      </c>
      <c r="B4489">
        <v>3500</v>
      </c>
      <c r="C4489">
        <v>3325</v>
      </c>
      <c r="D4489">
        <v>99</v>
      </c>
    </row>
    <row r="4490" spans="1:4" x14ac:dyDescent="0.35">
      <c r="A4490" t="s">
        <v>4568</v>
      </c>
      <c r="B4490">
        <v>980</v>
      </c>
      <c r="C4490">
        <v>1029</v>
      </c>
      <c r="D4490">
        <v>58</v>
      </c>
    </row>
    <row r="4491" spans="1:4" x14ac:dyDescent="0.35">
      <c r="A4491" t="s">
        <v>4569</v>
      </c>
      <c r="B4491">
        <v>8961</v>
      </c>
      <c r="C4491">
        <v>6038</v>
      </c>
      <c r="D4491">
        <v>16</v>
      </c>
    </row>
    <row r="4492" spans="1:4" x14ac:dyDescent="0.35">
      <c r="A4492" t="s">
        <v>4570</v>
      </c>
      <c r="B4492">
        <v>7088</v>
      </c>
      <c r="C4492">
        <v>5900</v>
      </c>
      <c r="D4492">
        <v>12</v>
      </c>
    </row>
    <row r="4493" spans="1:4" x14ac:dyDescent="0.35">
      <c r="A4493" t="s">
        <v>4571</v>
      </c>
      <c r="B4493">
        <v>9588</v>
      </c>
      <c r="C4493">
        <v>6550</v>
      </c>
      <c r="D4493">
        <v>18</v>
      </c>
    </row>
    <row r="4494" spans="1:4" x14ac:dyDescent="0.35">
      <c r="A4494" t="s">
        <v>4572</v>
      </c>
      <c r="B4494">
        <v>10000</v>
      </c>
      <c r="C4494">
        <v>5857</v>
      </c>
      <c r="D4494">
        <v>20</v>
      </c>
    </row>
    <row r="4495" spans="1:4" x14ac:dyDescent="0.35">
      <c r="A4495" t="s">
        <v>4573</v>
      </c>
      <c r="B4495">
        <v>41198</v>
      </c>
      <c r="C4495">
        <v>40000</v>
      </c>
      <c r="D4495">
        <v>3</v>
      </c>
    </row>
    <row r="4496" spans="1:4" x14ac:dyDescent="0.35">
      <c r="A4496" t="s">
        <v>4574</v>
      </c>
      <c r="B4496">
        <v>39141</v>
      </c>
      <c r="C4496">
        <v>38000</v>
      </c>
      <c r="D4496">
        <v>16</v>
      </c>
    </row>
    <row r="4497" spans="1:4" x14ac:dyDescent="0.35">
      <c r="A4497" t="s">
        <v>4575</v>
      </c>
      <c r="B4497">
        <v>42998</v>
      </c>
      <c r="C4497">
        <v>38083</v>
      </c>
      <c r="D4497">
        <v>3</v>
      </c>
    </row>
    <row r="4498" spans="1:4" x14ac:dyDescent="0.35">
      <c r="A4498" t="s">
        <v>4576</v>
      </c>
      <c r="B4498">
        <v>43666</v>
      </c>
      <c r="C4498">
        <v>38007</v>
      </c>
      <c r="D4498">
        <v>2</v>
      </c>
    </row>
    <row r="4499" spans="1:4" x14ac:dyDescent="0.35">
      <c r="A4499" t="s">
        <v>4577</v>
      </c>
      <c r="B4499">
        <v>94224</v>
      </c>
      <c r="C4499">
        <v>75499</v>
      </c>
      <c r="D4499">
        <v>3</v>
      </c>
    </row>
    <row r="4500" spans="1:4" x14ac:dyDescent="0.35">
      <c r="A4500" t="s">
        <v>4578</v>
      </c>
      <c r="B4500">
        <v>2100</v>
      </c>
      <c r="C4500">
        <v>1003</v>
      </c>
      <c r="D4500">
        <v>3</v>
      </c>
    </row>
    <row r="4501" spans="1:4" x14ac:dyDescent="0.35">
      <c r="A4501" t="s">
        <v>4579</v>
      </c>
      <c r="B4501">
        <v>2090</v>
      </c>
      <c r="C4501">
        <v>1686</v>
      </c>
      <c r="D4501">
        <v>2604</v>
      </c>
    </row>
    <row r="4502" spans="1:4" x14ac:dyDescent="0.35">
      <c r="A4502" t="s">
        <v>4580</v>
      </c>
      <c r="B4502">
        <v>1687843</v>
      </c>
      <c r="C4502">
        <v>1623668</v>
      </c>
      <c r="D4502">
        <v>17</v>
      </c>
    </row>
    <row r="4503" spans="1:4" x14ac:dyDescent="0.35">
      <c r="A4503" t="s">
        <v>4581</v>
      </c>
      <c r="B4503">
        <v>1475000</v>
      </c>
      <c r="C4503">
        <v>1442333</v>
      </c>
      <c r="D4503">
        <v>5</v>
      </c>
    </row>
    <row r="4504" spans="1:4" x14ac:dyDescent="0.35">
      <c r="A4504" t="s">
        <v>4582</v>
      </c>
      <c r="B4504">
        <v>383000000</v>
      </c>
      <c r="C4504">
        <v>381350000</v>
      </c>
      <c r="D4504">
        <v>13</v>
      </c>
    </row>
    <row r="4505" spans="1:4" x14ac:dyDescent="0.35">
      <c r="A4505" t="s">
        <v>4583</v>
      </c>
      <c r="B4505">
        <v>91977127</v>
      </c>
      <c r="C4505">
        <v>90000000</v>
      </c>
      <c r="D4505">
        <v>14</v>
      </c>
    </row>
    <row r="4506" spans="1:4" x14ac:dyDescent="0.35">
      <c r="A4506" t="s">
        <v>4584</v>
      </c>
      <c r="B4506">
        <v>21500000</v>
      </c>
      <c r="C4506">
        <v>21500000</v>
      </c>
      <c r="D4506">
        <v>0</v>
      </c>
    </row>
    <row r="4507" spans="1:4" x14ac:dyDescent="0.35">
      <c r="A4507" t="s">
        <v>4585</v>
      </c>
      <c r="B4507">
        <v>23884443</v>
      </c>
      <c r="C4507">
        <v>20791829</v>
      </c>
      <c r="D4507">
        <v>0</v>
      </c>
    </row>
    <row r="4508" spans="1:4" x14ac:dyDescent="0.35">
      <c r="A4508" t="s">
        <v>4586</v>
      </c>
      <c r="B4508">
        <v>15190738</v>
      </c>
      <c r="C4508">
        <v>15300000</v>
      </c>
      <c r="D4508">
        <v>0</v>
      </c>
    </row>
    <row r="4509" spans="1:4" x14ac:dyDescent="0.35">
      <c r="A4509" t="s">
        <v>4587</v>
      </c>
      <c r="B4509">
        <v>21596767</v>
      </c>
      <c r="C4509">
        <v>20749994</v>
      </c>
      <c r="D4509">
        <v>0</v>
      </c>
    </row>
    <row r="4510" spans="1:4" x14ac:dyDescent="0.35">
      <c r="A4510" t="s">
        <v>4588</v>
      </c>
      <c r="B4510">
        <v>24141960</v>
      </c>
      <c r="C4510">
        <v>21000200</v>
      </c>
      <c r="D4510">
        <v>0</v>
      </c>
    </row>
    <row r="4511" spans="1:4" x14ac:dyDescent="0.35">
      <c r="A4511" t="s">
        <v>4589</v>
      </c>
      <c r="B4511">
        <v>24054765</v>
      </c>
      <c r="C4511">
        <v>20500020</v>
      </c>
      <c r="D4511">
        <v>0</v>
      </c>
    </row>
    <row r="4512" spans="1:4" x14ac:dyDescent="0.35">
      <c r="A4512" t="s">
        <v>4590</v>
      </c>
      <c r="B4512">
        <v>18912399</v>
      </c>
      <c r="C4512">
        <v>18856000</v>
      </c>
      <c r="D4512">
        <v>7</v>
      </c>
    </row>
    <row r="4513" spans="1:4" x14ac:dyDescent="0.35">
      <c r="A4513" t="s">
        <v>4591</v>
      </c>
      <c r="B4513">
        <v>718</v>
      </c>
      <c r="C4513">
        <v>692</v>
      </c>
      <c r="D4513">
        <v>16</v>
      </c>
    </row>
    <row r="4514" spans="1:4" x14ac:dyDescent="0.35">
      <c r="A4514" t="s">
        <v>4592</v>
      </c>
      <c r="B4514">
        <v>995298</v>
      </c>
      <c r="C4514">
        <v>970000</v>
      </c>
      <c r="D4514">
        <v>42</v>
      </c>
    </row>
    <row r="4515" spans="1:4" x14ac:dyDescent="0.35">
      <c r="A4515" t="s">
        <v>4593</v>
      </c>
      <c r="B4515">
        <v>9485</v>
      </c>
      <c r="C4515">
        <v>6303</v>
      </c>
      <c r="D4515">
        <v>0</v>
      </c>
    </row>
    <row r="4516" spans="1:4" x14ac:dyDescent="0.35">
      <c r="A4516" t="s">
        <v>4594</v>
      </c>
      <c r="B4516">
        <v>276585</v>
      </c>
      <c r="C4516">
        <v>251742</v>
      </c>
      <c r="D4516">
        <v>6</v>
      </c>
    </row>
    <row r="4517" spans="1:4" x14ac:dyDescent="0.35">
      <c r="A4517" t="s">
        <v>4595</v>
      </c>
      <c r="B4517">
        <v>15425</v>
      </c>
      <c r="C4517">
        <v>15425</v>
      </c>
      <c r="D4517">
        <v>364</v>
      </c>
    </row>
    <row r="4518" spans="1:4" x14ac:dyDescent="0.35">
      <c r="A4518" t="s">
        <v>4596</v>
      </c>
      <c r="B4518">
        <v>13750</v>
      </c>
      <c r="C4518">
        <v>13600</v>
      </c>
      <c r="D4518">
        <v>871</v>
      </c>
    </row>
    <row r="4519" spans="1:4" x14ac:dyDescent="0.35">
      <c r="A4519" t="s">
        <v>93</v>
      </c>
      <c r="B4519">
        <v>182</v>
      </c>
      <c r="C4519">
        <v>182</v>
      </c>
      <c r="D4519">
        <v>1696601</v>
      </c>
    </row>
    <row r="4520" spans="1:4" x14ac:dyDescent="0.35">
      <c r="A4520" t="s">
        <v>4597</v>
      </c>
      <c r="B4520">
        <v>0</v>
      </c>
      <c r="C4520">
        <v>0</v>
      </c>
      <c r="D4520">
        <v>0</v>
      </c>
    </row>
    <row r="4521" spans="1:4" x14ac:dyDescent="0.35">
      <c r="A4521" t="s">
        <v>4598</v>
      </c>
      <c r="B4521">
        <v>0</v>
      </c>
      <c r="C4521">
        <v>0</v>
      </c>
      <c r="D4521">
        <v>0</v>
      </c>
    </row>
    <row r="4522" spans="1:4" x14ac:dyDescent="0.35">
      <c r="A4522" t="s">
        <v>4599</v>
      </c>
      <c r="B4522">
        <v>0</v>
      </c>
      <c r="C4522">
        <v>0</v>
      </c>
      <c r="D4522">
        <v>0</v>
      </c>
    </row>
    <row r="4523" spans="1:4" x14ac:dyDescent="0.35">
      <c r="A4523" t="s">
        <v>4600</v>
      </c>
      <c r="B4523">
        <v>0</v>
      </c>
      <c r="C4523">
        <v>0</v>
      </c>
      <c r="D4523">
        <v>0</v>
      </c>
    </row>
  </sheetData>
  <autoFilter ref="A1:D4523" xr:uid="{00000000-0009-0000-0000-000001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9"/>
  <sheetViews>
    <sheetView workbookViewId="0">
      <selection activeCell="B9" sqref="B9"/>
    </sheetView>
  </sheetViews>
  <sheetFormatPr defaultRowHeight="14.5" x14ac:dyDescent="0.35"/>
  <cols>
    <col min="1" max="1" width="17.81640625" bestFit="1" customWidth="1"/>
  </cols>
  <sheetData>
    <row r="1" spans="1:2" x14ac:dyDescent="0.35">
      <c r="A1" t="s">
        <v>4601</v>
      </c>
    </row>
    <row r="2" spans="1:2" x14ac:dyDescent="0.35">
      <c r="A2" t="s">
        <v>4602</v>
      </c>
      <c r="B2" t="s">
        <v>4603</v>
      </c>
    </row>
    <row r="3" spans="1:2" x14ac:dyDescent="0.35">
      <c r="A3" t="s">
        <v>4604</v>
      </c>
      <c r="B3" t="s">
        <v>4603</v>
      </c>
    </row>
    <row r="4" spans="1:2" x14ac:dyDescent="0.35">
      <c r="A4" t="s">
        <v>4605</v>
      </c>
      <c r="B4" t="s">
        <v>4614</v>
      </c>
    </row>
    <row r="5" spans="1:2" x14ac:dyDescent="0.35">
      <c r="A5" t="s">
        <v>4606</v>
      </c>
      <c r="B5" s="46" t="s">
        <v>4615</v>
      </c>
    </row>
    <row r="6" spans="1:2" x14ac:dyDescent="0.35">
      <c r="A6" t="s">
        <v>4607</v>
      </c>
      <c r="B6" t="b">
        <v>1</v>
      </c>
    </row>
    <row r="7" spans="1:2" x14ac:dyDescent="0.35">
      <c r="A7" t="s">
        <v>12</v>
      </c>
      <c r="B7" t="b">
        <v>1</v>
      </c>
    </row>
    <row r="8" spans="1:2" x14ac:dyDescent="0.35">
      <c r="A8" t="s">
        <v>4608</v>
      </c>
      <c r="B8" t="b">
        <v>1</v>
      </c>
    </row>
    <row r="9" spans="1:2" x14ac:dyDescent="0.35">
      <c r="A9" t="s">
        <v>4616</v>
      </c>
      <c r="B9" t="b">
        <v>1</v>
      </c>
    </row>
  </sheetData>
  <dataValidations count="2">
    <dataValidation type="list" errorTitle="Invalid Selection" error="Choose &quot;high&quot; or &quot;low&quot;" sqref="B2:B3" xr:uid="{00000000-0002-0000-0200-000000000000}">
      <formula1>"high,low"</formula1>
    </dataValidation>
    <dataValidation type="list" errorTitle="Invalid Selection" error="Choose &quot;high&quot; or &quot;low&quot;" sqref="B6:B9" xr:uid="{AFC8DF6F-09EA-48DF-B8F4-A952EE489406}">
      <formula1>"true,false"</formula1>
    </dataValidation>
  </dataValidations>
  <hyperlinks>
    <hyperlink ref="B5" r:id="rId1" xr:uid="{14E9F2AD-A9A0-477A-BFEF-6C56D20D7A1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Recipes</vt:lpstr>
      <vt:lpstr>Prices</vt:lpstr>
      <vt:lpstr>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 Şerbetçioğlu</dc:creator>
  <cp:lastModifiedBy>Mehmet Şerbetçioğlu</cp:lastModifiedBy>
  <dcterms:created xsi:type="dcterms:W3CDTF">2026-02-16T13:48:27Z</dcterms:created>
  <dcterms:modified xsi:type="dcterms:W3CDTF">2026-02-20T07:33:03Z</dcterms:modified>
</cp:coreProperties>
</file>